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argets" sheetId="2" state="visible" r:id="rId4"/>
    <sheet name="Notes" sheetId="3" state="visible" r:id="rId5"/>
    <sheet name="Outreach Log" sheetId="4" state="visible" r:id="rId6"/>
    <sheet name="Legend" sheetId="5" state="visible" r:id="rId7"/>
  </sheets>
  <definedNames>
    <definedName function="false" hidden="true" localSheetId="3" name="_xlnm._FilterDatabase" vbProcedure="false">'Outreach Log'!$A$1:$H$51</definedName>
    <definedName function="false" hidden="true" localSheetId="1" name="_xlnm._FilterDatabase" vbProcedure="false">Targets!$A$1:$M$34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<sst xmlns="http://schemas.openxmlformats.org/spreadsheetml/2006/main" count="520" uniqueCount="290">
  <si>
    <t xml:space="preserve">COB Flow — Phase 0 Target List</t>
  </si>
  <si>
    <t xml:space="preserve">Anchored on ZIP 53045 (Brookfield, WI) — built for the Wisconsin pilot phase</t>
  </si>
  <si>
    <t xml:space="preserve">TOTALS</t>
  </si>
  <si>
    <t xml:space="preserve">Total targets</t>
  </si>
  <si>
    <t xml:space="preserve">Phase 0 milestone (need ≥25)</t>
  </si>
  <si>
    <t xml:space="preserve">BY PRIORITY</t>
  </si>
  <si>
    <t xml:space="preserve">P0 — closest / warmest</t>
  </si>
  <si>
    <t xml:space="preserve">P1 — Milwaukee metro</t>
  </si>
  <si>
    <t xml:space="preserve">P2 — WI but further / national rollup</t>
  </si>
  <si>
    <t xml:space="preserve">P3 — long-shot</t>
  </si>
  <si>
    <t xml:space="preserve">BY TYPE</t>
  </si>
  <si>
    <t xml:space="preserve">Carrier</t>
  </si>
  <si>
    <t xml:space="preserve">Carrier / TPA</t>
  </si>
  <si>
    <t xml:space="preserve">Carrier + Hospital RCM</t>
  </si>
  <si>
    <t xml:space="preserve">TPA</t>
  </si>
  <si>
    <t xml:space="preserve">Hospital RCM</t>
  </si>
  <si>
    <t xml:space="preserve">Self-funded employer</t>
  </si>
  <si>
    <t xml:space="preserve">Law firm</t>
  </si>
  <si>
    <t xml:space="preserve">BY STATUS (update as you work)</t>
  </si>
  <si>
    <t xml:space="preserve">Cold</t>
  </si>
  <si>
    <t xml:space="preserve">Researching</t>
  </si>
  <si>
    <t xml:space="preserve">Outreach sent</t>
  </si>
  <si>
    <t xml:space="preserve">Conversation scheduled</t>
  </si>
  <si>
    <t xml:space="preserve">Conversation done</t>
  </si>
  <si>
    <t xml:space="preserve">Pilot candidate</t>
  </si>
  <si>
    <t xml:space="preserve">Passed</t>
  </si>
  <si>
    <t xml:space="preserve">Stalled</t>
  </si>
  <si>
    <t xml:space="preserve">NOTE</t>
  </si>
  <si>
    <t xml:space="preserve">This is a starting research list. Every address, HQ status, and current org structure must be verified before you build a real outreach plan. Use this as the skeleton; the truth is in LinkedIn, the Wisconsin OCI directory, and warm-intro conversations.</t>
  </si>
  <si>
    <t xml:space="preserve">Priority</t>
  </si>
  <si>
    <t xml:space="preserve">Organization</t>
  </si>
  <si>
    <t xml:space="preserve">Type</t>
  </si>
  <si>
    <t xml:space="preserve">City</t>
  </si>
  <si>
    <t xml:space="preserve">~Distance (mi)</t>
  </si>
  <si>
    <t xml:space="preserve">Why target</t>
  </si>
  <si>
    <t xml:space="preserve">First-conversation goal</t>
  </si>
  <si>
    <t xml:space="preserve">Status</t>
  </si>
  <si>
    <t xml:space="preserve">Contact (TBD)</t>
  </si>
  <si>
    <t xml:space="preserve">LinkedIn search hint</t>
  </si>
  <si>
    <t xml:space="preserve">Last touch</t>
  </si>
  <si>
    <t xml:space="preserve">Next step</t>
  </si>
  <si>
    <t xml:space="preserve">Caveat / watch-out</t>
  </si>
  <si>
    <t xml:space="preserve">P0</t>
  </si>
  <si>
    <t xml:space="preserve">Common Ground Healthcare Cooperative</t>
  </si>
  <si>
    <t xml:space="preserve">Brookfield, WI</t>
  </si>
  <si>
    <t xml:space="preserve">Local cooperative carrier; potentially literal neighbor — fastest warm-intro path of any target on the list.</t>
  </si>
  <si>
    <t xml:space="preserve">Coffee meeting. Listen first: current COB and subro workflow, vendor relationships, what's painful.</t>
  </si>
  <si>
    <t xml:space="preserve">(TBD)</t>
  </si>
  <si>
    <t xml:space="preserve">Common Ground Healthcare Cooperative subrogation OR coordination of benefits</t>
  </si>
  <si>
    <t xml:space="preserve">Confirm Brookfield HQ. Request warm intro via LinkedIn / mutual contact.</t>
  </si>
  <si>
    <t xml:space="preserve">VERIFY HQ ADDRESS before assuming proximity.</t>
  </si>
  <si>
    <t xml:space="preserve">ProHealth Care</t>
  </si>
  <si>
    <t xml:space="preserve">Waukesha, WI</t>
  </si>
  <si>
    <t xml:space="preserve">Large independent health system; runs its own revenue cycle. Patient-side COB and TPL recovery is real volume here.</t>
  </si>
  <si>
    <t xml:space="preserve">Meet revenue-cycle director. Understand whether RCM is in-house or outsourced; size of TPL function.</t>
  </si>
  <si>
    <t xml:space="preserve">ProHealth Care revenue cycle OR patient financial services</t>
  </si>
  <si>
    <t xml:space="preserve">LinkedIn warm intro request to RCM leadership.</t>
  </si>
  <si>
    <t xml:space="preserve">Some health systems outsource RCM entirely — confirm before deep prep.</t>
  </si>
  <si>
    <t xml:space="preserve">Diversified Benefit Services (DBS)</t>
  </si>
  <si>
    <t xml:space="preserve">Hartland, WI</t>
  </si>
  <si>
    <t xml:space="preserve">Regional TPA. Possible channel partner (sell-through their book) or direct first customer for the vendor mode.</t>
  </si>
  <si>
    <t xml:space="preserve">Understand book size, current subro/COB vendor relationships, openness to a regional partnership.</t>
  </si>
  <si>
    <t xml:space="preserve">Diversified Benefit Services Hartland Wisconsin</t>
  </si>
  <si>
    <t xml:space="preserve">Cold or warm outreach to operations leadership.</t>
  </si>
  <si>
    <t xml:space="preserve">Verify current ownership and book size.</t>
  </si>
  <si>
    <t xml:space="preserve">Kohl's</t>
  </si>
  <si>
    <t xml:space="preserve">Menomonee Falls, WI</t>
  </si>
  <si>
    <t xml:space="preserve">Large self-funded employer with sophisticated benefits team. Buyer-of-COB-services likely sits in their TPA, but benefits ops drives vendor decisions.</t>
  </si>
  <si>
    <t xml:space="preserve">Identify benefits operations lead. Understand TPA relationship and whether subro is in or out of scope.</t>
  </si>
  <si>
    <t xml:space="preserve">Kohl's benefits operations OR benefits manager</t>
  </si>
  <si>
    <t xml:space="preserve">LinkedIn search benefits/HR leadership.</t>
  </si>
  <si>
    <t xml:space="preserve">Sale here likely runs through their TPA.</t>
  </si>
  <si>
    <t xml:space="preserve">Quad / Quad/Graphics</t>
  </si>
  <si>
    <t xml:space="preserve">Sussex, WI</t>
  </si>
  <si>
    <t xml:space="preserve">Large local self-funded employer. Manufacturing/print-services workforce — meaningful trauma claim volume.</t>
  </si>
  <si>
    <t xml:space="preserve">Identify benefits ops lead; gauge TPA and recovery-vendor relationships.</t>
  </si>
  <si>
    <t xml:space="preserve">Quad benefits operations Sussex</t>
  </si>
  <si>
    <t xml:space="preserve">LinkedIn search.</t>
  </si>
  <si>
    <t xml:space="preserve">Generac Power Systems</t>
  </si>
  <si>
    <t xml:space="preserve">Local manufacturing employer; growing headcount; sophisticated benefits operations.</t>
  </si>
  <si>
    <t xml:space="preserve">Identify benefits and risk-mgmt leadership; understand current carrier/TPA stack.</t>
  </si>
  <si>
    <t xml:space="preserve">Generac benefits manager Waukesha</t>
  </si>
  <si>
    <t xml:space="preserve">Quarles &amp; Brady (Milwaukee office)</t>
  </si>
  <si>
    <t xml:space="preserve">Milwaukee, WI</t>
  </si>
  <si>
    <t xml:space="preserve">Phase 0 attorney scoping target. Strong healthcare and insurance practice.</t>
  </si>
  <si>
    <t xml:space="preserve">Fixed-fee 1-hour scoping call: Wisconsin OCI registration, third-party recovery vendor rules, NDA/consulting templates.</t>
  </si>
  <si>
    <t xml:space="preserve">Quarles &amp; Brady healthcare insurance regulatory Milwaukee</t>
  </si>
  <si>
    <t xml:space="preserve">Reach out to healthcare practice leader.</t>
  </si>
  <si>
    <t xml:space="preserve">PHASE 0 ATTORNEY — not a customer.</t>
  </si>
  <si>
    <t xml:space="preserve">Reinhart Boerner Van Deuren</t>
  </si>
  <si>
    <t xml:space="preserve">Phase 0 attorney scoping alternative; well-regarded WI healthcare regulatory practice.</t>
  </si>
  <si>
    <t xml:space="preserve">Fixed-fee scoping call: WI OCI third-party recovery vendor posture, entity setup nuances.</t>
  </si>
  <si>
    <t xml:space="preserve">Reinhart Boerner healthcare regulatory</t>
  </si>
  <si>
    <t xml:space="preserve">Reach out via healthcare practice page.</t>
  </si>
  <si>
    <t xml:space="preserve">Foley &amp; Lardner (Milwaukee)</t>
  </si>
  <si>
    <t xml:space="preserve">Phase 0 attorney scoping alternative; nationally recognized healthcare practice.</t>
  </si>
  <si>
    <t xml:space="preserve">Fixed-fee scoping call. May be expensive — get a quote first.</t>
  </si>
  <si>
    <t xml:space="preserve">Foley Lardner healthcare insurance Milwaukee</t>
  </si>
  <si>
    <t xml:space="preserve">Inquire about fixed-fee initial scoping engagement.</t>
  </si>
  <si>
    <t xml:space="preserve">PHASE 0 ATTORNEY — likely higher hourly rate.</t>
  </si>
  <si>
    <t xml:space="preserve">Husch Blackwell (Milwaukee)</t>
  </si>
  <si>
    <t xml:space="preserve">Phase 0 attorney alternative; healthcare and insurance practice.</t>
  </si>
  <si>
    <t xml:space="preserve">Fixed-fee scoping call. Compare quote with Quarles &amp; Brady and Reinhart.</t>
  </si>
  <si>
    <t xml:space="preserve">Husch Blackwell healthcare Milwaukee</t>
  </si>
  <si>
    <t xml:space="preserve">Inquire about initial scoping.</t>
  </si>
  <si>
    <t xml:space="preserve">Godfrey &amp; Kahn (Milwaukee)</t>
  </si>
  <si>
    <t xml:space="preserve">Phase 0 attorney alternative; corporate and healthcare practice; Wisconsin-rooted.</t>
  </si>
  <si>
    <t xml:space="preserve">Fixed-fee scoping call.</t>
  </si>
  <si>
    <t xml:space="preserve">Godfrey Kahn healthcare regulatory</t>
  </si>
  <si>
    <t xml:space="preserve">P1</t>
  </si>
  <si>
    <t xml:space="preserve">Anthem Blue Cross Blue Shield of Wisconsin</t>
  </si>
  <si>
    <t xml:space="preserve">Largest commercial carrier in Wisconsin. Significant subrogation operation. Slower to move than regionals but real volume.</t>
  </si>
  <si>
    <t xml:space="preserve">Identify Wisconsin subrogation operations lead; ask about current vendor stack (Rawlings/Optum/in-house).</t>
  </si>
  <si>
    <t xml:space="preserve">Anthem Wisconsin subrogation OR claims operations</t>
  </si>
  <si>
    <t xml:space="preserve">LinkedIn for subro/COB operations leadership.</t>
  </si>
  <si>
    <t xml:space="preserve">Decisions may roll up to Elevance national operations.</t>
  </si>
  <si>
    <t xml:space="preserve">Children's Wisconsin (Hospital + Health Plan)</t>
  </si>
  <si>
    <t xml:space="preserve">Both a pediatric health plan and a hospital system. Pediatric trauma is high subrogation hit-rate volume.</t>
  </si>
  <si>
    <t xml:space="preserve">Two separate conversations possible: plan-side COB and hospital-side TPL recovery.</t>
  </si>
  <si>
    <t xml:space="preserve">Children's Wisconsin subrogation OR revenue cycle</t>
  </si>
  <si>
    <t xml:space="preserve">LinkedIn — search both plan-side and RCM-side leadership.</t>
  </si>
  <si>
    <t xml:space="preserve">Two distinct ICPs in one logo.</t>
  </si>
  <si>
    <t xml:space="preserve">Froedtert Health (now Froedtert ThedaCare Health)</t>
  </si>
  <si>
    <t xml:space="preserve">Milwaukee/Wauwatosa, WI</t>
  </si>
  <si>
    <t xml:space="preserve">Major academic health system. Sizable RCM and TPL function.</t>
  </si>
  <si>
    <t xml:space="preserve">Meet revenue-cycle / patient-accounting leadership. Understand TPL recovery workflow.</t>
  </si>
  <si>
    <t xml:space="preserve">Froedtert revenue cycle OR patient financial services</t>
  </si>
  <si>
    <t xml:space="preserve">LinkedIn warm intro.</t>
  </si>
  <si>
    <t xml:space="preserve">Recently merged with ThedaCare — confirm current org chart.</t>
  </si>
  <si>
    <t xml:space="preserve">Advocate Health (formerly Aurora Health Care)</t>
  </si>
  <si>
    <t xml:space="preserve">Large multi-state health system after the Advocate Aurora merger and subsequent rename. Wisconsin operations are significant.</t>
  </si>
  <si>
    <t xml:space="preserve">Identify Wisconsin-region RCM leadership; understand whether TPL recovery is centralized or regional.</t>
  </si>
  <si>
    <t xml:space="preserve">Advocate Health Wisconsin revenue cycle</t>
  </si>
  <si>
    <t xml:space="preserve">Decisions may sit at Charlotte HQ post-merger.</t>
  </si>
  <si>
    <t xml:space="preserve">Ascension Wisconsin</t>
  </si>
  <si>
    <t xml:space="preserve">Milwaukee area, WI</t>
  </si>
  <si>
    <t xml:space="preserve">Catholic health system; significant Wisconsin footprint.</t>
  </si>
  <si>
    <t xml:space="preserve">Identify RCM leadership; gauge TPL recovery centralization.</t>
  </si>
  <si>
    <t xml:space="preserve">Ascension Wisconsin revenue cycle</t>
  </si>
  <si>
    <t xml:space="preserve">LinkedIn.</t>
  </si>
  <si>
    <t xml:space="preserve">Ascension uses outsourced RCM in some regions — confirm.</t>
  </si>
  <si>
    <t xml:space="preserve">Northwestern Mutual</t>
  </si>
  <si>
    <t xml:space="preserve">Iconic Milwaukee employer; large self-funded health plan; sophisticated benefits team.</t>
  </si>
  <si>
    <t xml:space="preserve">Identify benefits operations leadership; understand TPA and recovery-vendor stack.</t>
  </si>
  <si>
    <t xml:space="preserve">Northwestern Mutual benefits operations</t>
  </si>
  <si>
    <t xml:space="preserve">LinkedIn — benefits/HR senior leadership.</t>
  </si>
  <si>
    <t xml:space="preserve">Hard to penetrate without warm intro.</t>
  </si>
  <si>
    <t xml:space="preserve">Harley-Davidson</t>
  </si>
  <si>
    <t xml:space="preserve">Iconic Milwaukee employer; self-funded; manufacturing workforce with meaningful injury claims.</t>
  </si>
  <si>
    <t xml:space="preserve">Identify benefits ops lead.</t>
  </si>
  <si>
    <t xml:space="preserve">Harley-Davidson benefits manager</t>
  </si>
  <si>
    <t xml:space="preserve">Briggs &amp; Stratton</t>
  </si>
  <si>
    <t xml:space="preserve">Wauwatosa, WI</t>
  </si>
  <si>
    <t xml:space="preserve">Local manufacturing employer.</t>
  </si>
  <si>
    <t xml:space="preserve">Briggs Stratton benefits operations</t>
  </si>
  <si>
    <t xml:space="preserve">Post-bankruptcy ownership change (KPS) — confirm current benefits structure.</t>
  </si>
  <si>
    <t xml:space="preserve">Rockwell Automation</t>
  </si>
  <si>
    <t xml:space="preserve">Large Milwaukee-HQ industrial automation company; sophisticated benefits.</t>
  </si>
  <si>
    <t xml:space="preserve">Rockwell Automation benefits manager</t>
  </si>
  <si>
    <t xml:space="preserve">ManpowerGroup</t>
  </si>
  <si>
    <t xml:space="preserve">Global staffing HQ in Milwaukee; sophisticated benefits team.</t>
  </si>
  <si>
    <t xml:space="preserve">ManpowerGroup benefits operations Milwaukee</t>
  </si>
  <si>
    <t xml:space="preserve">Johnson Controls</t>
  </si>
  <si>
    <t xml:space="preserve">Glendale, WI</t>
  </si>
  <si>
    <t xml:space="preserve">Large Milwaukee-area HQ; sophisticated benefits operations.</t>
  </si>
  <si>
    <t xml:space="preserve">Johnson Controls benefits operations</t>
  </si>
  <si>
    <t xml:space="preserve">Multi-national; benefits decisions may be globally centralized.</t>
  </si>
  <si>
    <t xml:space="preserve">WEC Energy Group</t>
  </si>
  <si>
    <t xml:space="preserve">Utility holding company headquartered in Milwaukee.</t>
  </si>
  <si>
    <t xml:space="preserve">WEC Energy benefits manager</t>
  </si>
  <si>
    <t xml:space="preserve">Direct Supply</t>
  </si>
  <si>
    <t xml:space="preserve">Milwaukee-HQ senior-living supplier. Reputation for sophisticated employee benefits.</t>
  </si>
  <si>
    <t xml:space="preserve">Direct Supply benefits operations</t>
  </si>
  <si>
    <t xml:space="preserve">GE HealthCare (now standalone GEHC)</t>
  </si>
  <si>
    <t xml:space="preserve">Major Wauwatosa employer post-spin-off from GE.</t>
  </si>
  <si>
    <t xml:space="preserve">GE HealthCare benefits operations Wauwatosa</t>
  </si>
  <si>
    <t xml:space="preserve">Spun off from GE in 2023; benefits operations may still be integrating.</t>
  </si>
  <si>
    <t xml:space="preserve">P2</t>
  </si>
  <si>
    <t xml:space="preserve">WPS Health Solutions</t>
  </si>
  <si>
    <t xml:space="preserve">Madison, WI</t>
  </si>
  <si>
    <t xml:space="preserve">WI-rooted carrier and TPA. Government contractor heritage. Subrogation operation is real.</t>
  </si>
  <si>
    <t xml:space="preserve">Identify subrogation operations lead.</t>
  </si>
  <si>
    <t xml:space="preserve">WPS Health Solutions subrogation</t>
  </si>
  <si>
    <t xml:space="preserve">Further drive — consider video call for first conversation.</t>
  </si>
  <si>
    <t xml:space="preserve">Quartz Health Solutions</t>
  </si>
  <si>
    <t xml:space="preserve">Madison-area carrier (Unity, Gundersen, Physicians Plus merger).</t>
  </si>
  <si>
    <t xml:space="preserve">Identify subrogation ops lead.</t>
  </si>
  <si>
    <t xml:space="preserve">Quartz Health Solutions subrogation Madison</t>
  </si>
  <si>
    <t xml:space="preserve">Madison drive.</t>
  </si>
  <si>
    <t xml:space="preserve">Network Health</t>
  </si>
  <si>
    <t xml:space="preserve">Menasha, WI</t>
  </si>
  <si>
    <t xml:space="preserve">WI-rooted regional carrier in Fox Cities.</t>
  </si>
  <si>
    <t xml:space="preserve">Identify subrogation/COB ops lead.</t>
  </si>
  <si>
    <t xml:space="preserve">Network Health Menasha subrogation</t>
  </si>
  <si>
    <t xml:space="preserve">Far — video call for first conversation.</t>
  </si>
  <si>
    <t xml:space="preserve">Auxiant</t>
  </si>
  <si>
    <t xml:space="preserve">WI-rooted TPA.</t>
  </si>
  <si>
    <t xml:space="preserve">Identify operations leadership; understand book size.</t>
  </si>
  <si>
    <t xml:space="preserve">Auxiant TPA Madison Wisconsin</t>
  </si>
  <si>
    <t xml:space="preserve">LinkedIn / direct outreach.</t>
  </si>
  <si>
    <t xml:space="preserve">Smaller book; confirm scale.</t>
  </si>
  <si>
    <t xml:space="preserve">UnitedHealthcare — Wisconsin office</t>
  </si>
  <si>
    <t xml:space="preserve">Wauwatosa / Milwaukee, WI</t>
  </si>
  <si>
    <t xml:space="preserve">WI regional presence but subrogation rolls up to Optum nationally — local conversation may not be decision-making.</t>
  </si>
  <si>
    <t xml:space="preserve">Local relationship building; decisions sit at Optum.</t>
  </si>
  <si>
    <t xml:space="preserve">UnitedHealthcare Wisconsin claims operations</t>
  </si>
  <si>
    <t xml:space="preserve">Optum is a direct competitor — handle with care.</t>
  </si>
  <si>
    <t xml:space="preserve">Aetna — Wisconsin office</t>
  </si>
  <si>
    <t xml:space="preserve">CVS Health / Aetna; WI regional presence; decisions national.</t>
  </si>
  <si>
    <t xml:space="preserve">Local relationship building; learn current vendor stack.</t>
  </si>
  <si>
    <t xml:space="preserve">Aetna Wisconsin claims operations</t>
  </si>
  <si>
    <t xml:space="preserve">Humana — Wisconsin office</t>
  </si>
  <si>
    <t xml:space="preserve">Milwaukee/Waukesha, WI</t>
  </si>
  <si>
    <t xml:space="preserve">Humana has WI Medicare Advantage presence; subro on those claims is real.</t>
  </si>
  <si>
    <t xml:space="preserve">Identify WI ops leadership.</t>
  </si>
  <si>
    <t xml:space="preserve">Humana Wisconsin Medicare Advantage subrogation</t>
  </si>
  <si>
    <t xml:space="preserve">A.O. Smith</t>
  </si>
  <si>
    <t xml:space="preserve">Milwaukee-HQ water-heater manufacturer.</t>
  </si>
  <si>
    <t xml:space="preserve">A.O. Smith benefits manager</t>
  </si>
  <si>
    <t xml:space="preserve">Narrative / suggested approach / watch-outs</t>
  </si>
  <si>
    <t xml:space="preserve">If their HQ is in fact in Brookfield, this is the single highest-leverage Phase 1 target on the list — proximity to a founder buys access that no amount of email outreach replicates. Treat first conversation as pure listening; do not pitch the prototype in the first meeting. Their COB workflow conversation will tell you whether COB Smart already has their commercial COB problem solved, which immediately sharpens our pitch (we are the subrogation layer COB Smart explicitly excludes).</t>
  </si>
  <si>
    <t xml:space="preserve">Hospital RCM is a Phase 3 expansion target in the GTM roadmap, but ProHealth is close enough that an early conversation is essentially free. Watch-out: if RCM is outsourced (e.g., to Conifer or R1), the buyer isn't ProHealth — it's the outsource vendor. Confirm in-house or outsourced before deep prep.</t>
  </si>
  <si>
    <t xml:space="preserve">Regional TPAs are often the most underserved buyer segment because national vendors don't court them. A small TPA may be the cleanest first commercial pilot if Common Ground doesn't bite. The conversation here is about partnership and per-recovery economics, not enterprise license fees.</t>
  </si>
  <si>
    <t xml:space="preserve">Self-funded employers buy through their TPA in most cases. Use Kohl's primarily to learn: who is their TPA, what is their recovery vendor stack, would they push their TPA to evaluate COB Flow if asked? The benefits operations leader is the right entry point.</t>
  </si>
  <si>
    <t xml:space="preserve">Manufacturing/print workforce — meaningful trauma claim base. Local enough for an in-person meeting.</t>
  </si>
  <si>
    <t xml:space="preserve">Growth company with growing benefits operations. Risk-management leadership may be a more productive entry point than pure benefits ops.</t>
  </si>
  <si>
    <t xml:space="preserve">Likely the right Phase 0 first call. Healthcare and insurance regulatory practice in Milwaukee. Ask for fixed-fee scoping engagement covering: Wisconsin OCI registration posture for a third-party recovery vendor, baseline NDA and consulting templates, entity structure recommendations.</t>
  </si>
  <si>
    <t xml:space="preserve">Healthy alternative to Quarles &amp; Brady. Get quotes from both before committing.</t>
  </si>
  <si>
    <t xml:space="preserve">Nationally recognized but likely higher hourly rate. Use as fallback if Quarles or Reinhart don't fit. Strong on subrogation case-law nuance which may matter once we're drafting demand-letter language.</t>
  </si>
  <si>
    <t xml:space="preserve">Strong healthcare regulatory practice. Worth getting a quote for comparison.</t>
  </si>
  <si>
    <t xml:space="preserve">Wisconsin-rooted firm. Strong corporate and healthcare practices. Worth a quote.</t>
  </si>
  <si>
    <t xml:space="preserve">Largest carrier in the state. Decision-making likely sits at Elevance (parent company) HQ in Indianapolis, not Milwaukee. Local conversation has value for relationship building but don't expect a fast pilot decision. Possible longer-term opportunity if national procurement opens up.</t>
  </si>
  <si>
    <t xml:space="preserve">Unique because they have both a hospital RCM operation and a health plan. Two separate conversations possible. Pediatric trauma claims have high subrogation hit-rate — they are likely already doing this work and will know the pain immediately.</t>
  </si>
  <si>
    <t xml:space="preserve">Major academic health system. Recently merged with ThedaCare. Confirm current org chart and where RCM leadership sits. If merger integration is in progress, they may not be a good early-pilot target — too distracted.</t>
  </si>
  <si>
    <t xml:space="preserve">Post-merger, decision-making for vendor selection may have moved to Charlotte. Local conversations are still valuable but expect long cycles.</t>
  </si>
  <si>
    <t xml:space="preserve">Ascension uses Conifer for RCM in some markets. Confirm whether Wisconsin is in-house or outsourced before investing time.</t>
  </si>
  <si>
    <t xml:space="preserve">Iconic Milwaukee logo; getting in cold is hard. Need a warm intro through the local business community — Rotary, Greater Milwaukee Committee, or an advisor who knows their benefits leadership.</t>
  </si>
  <si>
    <t xml:space="preserve">Manufacturing workforce; meaningful injury claim volume. Local presence makes warm-intro outreach feasible.</t>
  </si>
  <si>
    <t xml:space="preserve">Post-bankruptcy ownership change. Benefits structure may have shifted under KPS Capital ownership. Confirm before deep prep.</t>
  </si>
  <si>
    <t xml:space="preserve">Sophisticated benefits operation. Industrial automation HQ — could also be relevant later as an integration technology partner.</t>
  </si>
  <si>
    <t xml:space="preserve">Staffing-industry employer with unusual claim patterns (rotating temporary workforce). Could be an interesting research case even if not a buyer.</t>
  </si>
  <si>
    <t xml:space="preserve">Multinational; benefits operations may be globally centralized (Cork, Ireland HQ). Local conversation may not reach the buyer.</t>
  </si>
  <si>
    <t xml:space="preserve">Utility employer; relatively stable workforce.</t>
  </si>
  <si>
    <t xml:space="preserve">Reputation for sophisticated employee benefits — could be a thoughtful evaluator.</t>
  </si>
  <si>
    <t xml:space="preserve">Spun out from GE in 2023; benefits operations may still be settling into independence. May be early in vendor rationalization which can cut either way.</t>
  </si>
  <si>
    <t xml:space="preserve">Government contractor heritage (TRICARE administration). May have unusual procurement dynamics. The subrogation function is real and worth a conversation. Madison drive — schedule with another Madison meeting.</t>
  </si>
  <si>
    <t xml:space="preserve">Madison-area carrier from the Unity/Gundersen/Physicians Plus merger. Confirm current ownership.</t>
  </si>
  <si>
    <t xml:space="preserve">Far drive but a regional carrier worth a conversation. Video call for first meeting; in-person only if it advances.</t>
  </si>
  <si>
    <t xml:space="preserve">Smaller TPA — confirm scale before investing time. Could be a fast first pilot if the book is right.</t>
  </si>
  <si>
    <t xml:space="preserve">Optum is a direct competitor on subrogation recovery. Tread carefully — anything we share is potentially competitive intel for them.</t>
  </si>
  <si>
    <t xml:space="preserve">CVS Health / Aetna. National decision-making.</t>
  </si>
  <si>
    <t xml:space="preserve">Medicare Advantage focus in Wisconsin. MA subro is a real workflow with its own MSP nuances we already handle.</t>
  </si>
  <si>
    <t xml:space="preserve">Smaller than the other Milwaukee industrial employers; sometimes more accessible as a result.</t>
  </si>
  <si>
    <t xml:space="preserve">Date</t>
  </si>
  <si>
    <t xml:space="preserve">Person</t>
  </si>
  <si>
    <t xml:space="preserve">Role/Title</t>
  </si>
  <si>
    <t xml:space="preserve">Channel</t>
  </si>
  <si>
    <t xml:space="preserve">Outcome</t>
  </si>
  <si>
    <t xml:space="preserve">Notes</t>
  </si>
  <si>
    <t xml:space="preserve">Legend</t>
  </si>
  <si>
    <t xml:space="preserve">PRIORITY</t>
  </si>
  <si>
    <t xml:space="preserve">Closest to 53045 OR strongest warm-intro path. First wave of outreach. Includes Phase 0 attorney scoping targets.</t>
  </si>
  <si>
    <t xml:space="preserve">Milwaukee metro (within ~20 mi). Second wave.</t>
  </si>
  <si>
    <t xml:space="preserve">Wisconsin but further drive, or national companies with WI regional office where decisions roll up nationally.</t>
  </si>
  <si>
    <t xml:space="preserve">P3</t>
  </si>
  <si>
    <t xml:space="preserve">Long-shot. Revisit only after Phase 1 discovery surfaces a specific reason.</t>
  </si>
  <si>
    <t xml:space="preserve">STATUS</t>
  </si>
  <si>
    <t xml:space="preserve">No contact yet. Default.</t>
  </si>
  <si>
    <t xml:space="preserve">Looking up HQ, confirming org structure, finding the right contact on LinkedIn.</t>
  </si>
  <si>
    <t xml:space="preserve">Email or LinkedIn message sent; awaiting response.</t>
  </si>
  <si>
    <t xml:space="preserve">Meeting on the calendar.</t>
  </si>
  <si>
    <t xml:space="preserve">Met. Move to Outreach Log for follow-ups.</t>
  </si>
  <si>
    <t xml:space="preserve">Strong fit; advancing to Phase 3 conversation.</t>
  </si>
  <si>
    <t xml:space="preserve">Not a fit; document why and stop.</t>
  </si>
  <si>
    <t xml:space="preserve">No response after 3 touches; revisit in 90 days.</t>
  </si>
  <si>
    <t xml:space="preserve">TYPE</t>
  </si>
  <si>
    <t xml:space="preserve">Health insurance carrier / health plan. Primary ICP for COB Flow.</t>
  </si>
  <si>
    <t xml:space="preserve">Third-party administrator. Channel partner or direct customer in vendor mode.</t>
  </si>
  <si>
    <t xml:space="preserve">Hybrid organization (e.g., WPS) that operates as both.</t>
  </si>
  <si>
    <t xml:space="preserve">Unusual orgs (e.g., Children's Wisconsin) running both a plan and a hospital RCM.</t>
  </si>
  <si>
    <t xml:space="preserve">Hospital revenue cycle / patient financial services. Phase 3 expansion target.</t>
  </si>
  <si>
    <t xml:space="preserve">Plan sponsor running its own benefits. Usually buys via TPA.</t>
  </si>
  <si>
    <t xml:space="preserve">Phase 0 attorney scoping target — NOT a customer. Used to set up WI legal/regulatory baseline.</t>
  </si>
  <si>
    <t xml:space="preserve">HOW TO USE THIS WORKBOOK</t>
  </si>
  <si>
    <t xml:space="preserve">1. Open the Targets sheet. Filter by Priority or Type to plan your week.</t>
  </si>
  <si>
    <t xml:space="preserve">2. As you research each org, update Contact, LinkedIn, and Next step.</t>
  </si>
  <si>
    <t xml:space="preserve">3. When you take an action, update Status and log the touch in Outreach Log.</t>
  </si>
  <si>
    <t xml:space="preserve">4. Read the Notes sheet before any first conversation — it has the watch-outs.</t>
  </si>
  <si>
    <t xml:space="preserve">5. Check Summary weekly to track Phase 0 progress against the ≥25 target.</t>
  </si>
  <si>
    <t xml:space="preserve">6. This list is starting research. Verify every address and HQ status before serious outreach.</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</si>
</sst>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8"/>
      <color rgb="FF1F4E79"/>
      <name val="Calibri"/>
      <family val="0"/>
      <charset val="1"/>
    </font>
    <font>
      <i val="true"/>
      <sz val="11"/>
      <color rgb="FF666666"/>
      <name val="Calibri"/>
      <family val="0"/>
      <charset val="1"/>
    </font>
    <font>
      <b val="true"/>
      <sz val="10"/>
      <color rgb="FF404040"/>
      <name val="Calibri"/>
      <family val="0"/>
      <charset val="1"/>
    </font>
    <font>
      <i val="true"/>
      <sz val="10"/>
      <color rgb="FF666666"/>
      <name val="Calibri"/>
      <family val="0"/>
      <charset val="1"/>
    </font>
    <font>
      <b val="true"/>
      <sz val="11"/>
      <color rgb="FFFFFFFF"/>
      <name val="Calibri"/>
      <family val="0"/>
      <charset val="1"/>
    </font>
    <font>
      <sz val="10"/>
      <color rgb="FF000000"/>
      <name val="Calibri"/>
      <family val="0"/>
      <charset val="1"/>
    </font>
  </fonts>
  <fills count="7">
    <fill>
      <patternFill patternType="none"/>
    </fill>
    <fill>
      <patternFill patternType="gray125"/>
    </fill>
    <fill>
      <patternFill patternType="solid">
        <fgColor rgb="FFC6EFCE"/>
        <bgColor rgb="FFD9D9D9"/>
      </patternFill>
    </fill>
    <fill>
      <patternFill patternType="solid">
        <fgColor rgb="FFFFEB9C"/>
        <bgColor rgb="FFFCD5B4"/>
      </patternFill>
    </fill>
    <fill>
      <patternFill patternType="solid">
        <fgColor rgb="FFFCD5B4"/>
        <bgColor rgb="FFFFEB9C"/>
      </patternFill>
    </fill>
    <fill>
      <patternFill patternType="solid">
        <fgColor rgb="FFD9D9D9"/>
        <bgColor rgb="FFC6EFCE"/>
      </patternFill>
    </fill>
    <fill>
      <patternFill patternType="solid">
        <fgColor rgb="FF1F4E79"/>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false">
      <alignment horizontal="center" vertical="center" textRotation="0" wrapText="false" indent="0" shrinkToFit="false"/>
      <protection locked="true" hidden="false"/>
    </xf>
    <xf numFmtId="164" fontId="0" fillId="4"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9"/>
          <bgColor rgb="FF000000"/>
        </patternFill>
      </fill>
    </dxf>
    <dxf>
      <fill>
        <patternFill patternType="solid">
          <fgColor rgb="FFC6EFCE"/>
          <bgColor rgb="FF000000"/>
        </patternFill>
      </fill>
    </dxf>
    <dxf>
      <fill>
        <patternFill patternType="solid">
          <fgColor rgb="FFFCD5B4"/>
          <bgColor rgb="FF000000"/>
        </patternFill>
      </fill>
    </dxf>
    <dxf>
      <fill>
        <patternFill patternType="solid">
          <fgColor rgb="FFFFEB9C"/>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CD5B4"/>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8"/>
  </cols>
  <sheetData>
    <row r="1" customFormat="false" ht="22.0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0" t="s">
        <v>3</v>
      </c>
      <c r="B5" s="0" t="n">
        <f aca="false">COUNTA(Targets!B:B)-1</f>
        <v>33</v>
      </c>
    </row>
    <row r="6" customFormat="false" ht="15" hidden="false" customHeight="false" outlineLevel="0" collapsed="false">
      <c r="A6" s="0" t="s">
        <v>4</v>
      </c>
      <c r="B6" s="0" t="str">
        <f aca="false">IF(B5&gt;=25,"✓ Met","Below threshold — add more")</f>
        <v>✓ Met</v>
      </c>
    </row>
    <row r="8" customFormat="false" ht="15" hidden="false" customHeight="false" outlineLevel="0" collapsed="false">
      <c r="A8" s="3" t="s">
        <v>5</v>
      </c>
    </row>
    <row r="9" customFormat="false" ht="15" hidden="false" customHeight="false" outlineLevel="0" collapsed="false">
      <c r="A9" s="4" t="s">
        <v>6</v>
      </c>
      <c r="B9" s="0" t="n">
        <f aca="false">COUNTIF(Targets!A:A,"P0")</f>
        <v>11</v>
      </c>
    </row>
    <row r="10" customFormat="false" ht="15" hidden="false" customHeight="false" outlineLevel="0" collapsed="false">
      <c r="A10" s="5" t="s">
        <v>7</v>
      </c>
      <c r="B10" s="0" t="n">
        <f aca="false">COUNTIF(Targets!A:A,"P1")</f>
        <v>14</v>
      </c>
    </row>
    <row r="11" customFormat="false" ht="15" hidden="false" customHeight="false" outlineLevel="0" collapsed="false">
      <c r="A11" s="6" t="s">
        <v>8</v>
      </c>
      <c r="B11" s="0" t="n">
        <f aca="false">COUNTIF(Targets!A:A,"P2")</f>
        <v>8</v>
      </c>
    </row>
    <row r="12" customFormat="false" ht="15" hidden="false" customHeight="false" outlineLevel="0" collapsed="false">
      <c r="A12" s="7" t="s">
        <v>9</v>
      </c>
      <c r="B12" s="0" t="n">
        <f aca="false">COUNTIF(Targets!A:A,"P3")</f>
        <v>0</v>
      </c>
    </row>
    <row r="14" customFormat="false" ht="15" hidden="false" customHeight="false" outlineLevel="0" collapsed="false">
      <c r="A14" s="3" t="s">
        <v>10</v>
      </c>
    </row>
    <row r="15" customFormat="false" ht="15" hidden="false" customHeight="false" outlineLevel="0" collapsed="false">
      <c r="A15" s="0" t="s">
        <v>11</v>
      </c>
      <c r="B15" s="0" t="n">
        <f aca="false">COUNTIF(Targets!C:C,"Carrier")</f>
        <v>7</v>
      </c>
    </row>
    <row r="16" customFormat="false" ht="15" hidden="false" customHeight="false" outlineLevel="0" collapsed="false">
      <c r="A16" s="0" t="s">
        <v>12</v>
      </c>
      <c r="B16" s="0" t="n">
        <f aca="false">COUNTIF(Targets!C:C,"Carrier / TPA")</f>
        <v>1</v>
      </c>
    </row>
    <row r="17" customFormat="false" ht="15" hidden="false" customHeight="false" outlineLevel="0" collapsed="false">
      <c r="A17" s="0" t="s">
        <v>13</v>
      </c>
      <c r="B17" s="0" t="n">
        <f aca="false">COUNTIF(Targets!C:C,"Carrier + Hospital RCM")</f>
        <v>1</v>
      </c>
    </row>
    <row r="18" customFormat="false" ht="15" hidden="false" customHeight="false" outlineLevel="0" collapsed="false">
      <c r="A18" s="0" t="s">
        <v>14</v>
      </c>
      <c r="B18" s="0" t="n">
        <f aca="false">COUNTIF(Targets!C:C,"TPA")</f>
        <v>2</v>
      </c>
    </row>
    <row r="19" customFormat="false" ht="15" hidden="false" customHeight="false" outlineLevel="0" collapsed="false">
      <c r="A19" s="0" t="s">
        <v>15</v>
      </c>
      <c r="B19" s="0" t="n">
        <f aca="false">COUNTIF(Targets!C:C,"Hospital RCM")</f>
        <v>4</v>
      </c>
    </row>
    <row r="20" customFormat="false" ht="15" hidden="false" customHeight="false" outlineLevel="0" collapsed="false">
      <c r="A20" s="0" t="s">
        <v>16</v>
      </c>
      <c r="B20" s="0" t="n">
        <f aca="false">COUNTIF(Targets!C:C,"Self-funded employer")</f>
        <v>13</v>
      </c>
    </row>
    <row r="21" customFormat="false" ht="15" hidden="false" customHeight="false" outlineLevel="0" collapsed="false">
      <c r="A21" s="0" t="s">
        <v>17</v>
      </c>
      <c r="B21" s="0" t="n">
        <f aca="false">COUNTIF(Targets!C:C,"Law firm")</f>
        <v>5</v>
      </c>
    </row>
    <row r="23" customFormat="false" ht="15" hidden="false" customHeight="false" outlineLevel="0" collapsed="false">
      <c r="A23" s="3" t="s">
        <v>18</v>
      </c>
    </row>
    <row r="24" customFormat="false" ht="15" hidden="false" customHeight="false" outlineLevel="0" collapsed="false">
      <c r="A24" s="0" t="s">
        <v>19</v>
      </c>
      <c r="B24" s="0" t="n">
        <f aca="false">COUNTIF(Targets!H:H,"Cold")</f>
        <v>33</v>
      </c>
    </row>
    <row r="25" customFormat="false" ht="15" hidden="false" customHeight="false" outlineLevel="0" collapsed="false">
      <c r="A25" s="0" t="s">
        <v>20</v>
      </c>
      <c r="B25" s="0" t="n">
        <f aca="false">COUNTIF(Targets!H:H,"Researching")</f>
        <v>0</v>
      </c>
    </row>
    <row r="26" customFormat="false" ht="15" hidden="false" customHeight="false" outlineLevel="0" collapsed="false">
      <c r="A26" s="0" t="s">
        <v>21</v>
      </c>
      <c r="B26" s="0" t="n">
        <f aca="false">COUNTIF(Targets!H:H,"Outreach sent")</f>
        <v>0</v>
      </c>
    </row>
    <row r="27" customFormat="false" ht="15" hidden="false" customHeight="false" outlineLevel="0" collapsed="false">
      <c r="A27" s="0" t="s">
        <v>22</v>
      </c>
      <c r="B27" s="0" t="n">
        <f aca="false">COUNTIF(Targets!H:H,"Conversation scheduled")</f>
        <v>0</v>
      </c>
    </row>
    <row r="28" customFormat="false" ht="15" hidden="false" customHeight="false" outlineLevel="0" collapsed="false">
      <c r="A28" s="0" t="s">
        <v>23</v>
      </c>
      <c r="B28" s="0" t="n">
        <f aca="false">COUNTIF(Targets!H:H,"Conversation done")</f>
        <v>0</v>
      </c>
    </row>
    <row r="29" customFormat="false" ht="15" hidden="false" customHeight="false" outlineLevel="0" collapsed="false">
      <c r="A29" s="0" t="s">
        <v>24</v>
      </c>
      <c r="B29" s="0" t="n">
        <f aca="false">COUNTIF(Targets!H:H,"Pilot candidate")</f>
        <v>0</v>
      </c>
    </row>
    <row r="30" customFormat="false" ht="15" hidden="false" customHeight="false" outlineLevel="0" collapsed="false">
      <c r="A30" s="0" t="s">
        <v>25</v>
      </c>
      <c r="B30" s="0" t="n">
        <f aca="false">COUNTIF(Targets!H:H,"Passed")</f>
        <v>0</v>
      </c>
    </row>
    <row r="31" customFormat="false" ht="15" hidden="false" customHeight="false" outlineLevel="0" collapsed="false">
      <c r="A31" s="0" t="s">
        <v>26</v>
      </c>
      <c r="B31" s="0" t="n">
        <f aca="false">COUNTIF(Targets!H:H,"Stalled")</f>
        <v>0</v>
      </c>
    </row>
    <row r="33" customFormat="false" ht="15" hidden="false" customHeight="false" outlineLevel="0" collapsed="false">
      <c r="A33" s="3" t="s">
        <v>27</v>
      </c>
    </row>
    <row r="34" customFormat="false" ht="15" hidden="false" customHeight="true" outlineLevel="0" collapsed="false">
      <c r="A34" s="8" t="s">
        <v>28</v>
      </c>
      <c r="B34" s="8"/>
      <c r="C34" s="8"/>
      <c r="D34" s="8"/>
      <c r="E34" s="8"/>
      <c r="F34" s="8"/>
    </row>
    <row r="35" customFormat="false" ht="15" hidden="false" customHeight="false" outlineLevel="0" collapsed="false">
      <c r="A35" s="8"/>
      <c r="B35" s="8"/>
      <c r="C35" s="8"/>
      <c r="D35" s="8"/>
      <c r="E35" s="8"/>
      <c r="F35" s="8"/>
    </row>
    <row r="36" customFormat="false" ht="15" hidden="false" customHeight="false" outlineLevel="0" collapsed="false">
      <c r="A36" s="8"/>
      <c r="B36" s="8"/>
      <c r="C36" s="8"/>
      <c r="D36" s="8"/>
      <c r="E36" s="8"/>
      <c r="F36" s="8"/>
    </row>
    <row r="37" customFormat="false" ht="15" hidden="false" customHeight="false" outlineLevel="0" collapsed="false">
      <c r="A37" s="8"/>
      <c r="B37" s="8"/>
      <c r="C37" s="8"/>
      <c r="D37" s="8"/>
      <c r="E37" s="8"/>
      <c r="F37" s="8"/>
    </row>
    <row r="38" customFormat="false" ht="15" hidden="false" customHeight="false" outlineLevel="0" collapsed="false">
      <c r="A38" s="8"/>
      <c r="B38" s="8"/>
      <c r="C38" s="8"/>
      <c r="D38" s="8"/>
      <c r="E38" s="8"/>
      <c r="F38" s="8"/>
    </row>
  </sheetData>
  <mergeCells count="1">
    <mergeCell ref="A34: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8"/>
    <col collapsed="false" customWidth="true" hidden="false" outlineLevel="0" max="4" min="3" style="0" width="22"/>
    <col collapsed="false" customWidth="true" hidden="false" outlineLevel="0" max="5" min="5" style="0" width="11"/>
    <col collapsed="false" customWidth="true" hidden="false" outlineLevel="0" max="7" min="6" style="0" width="50"/>
    <col collapsed="false" customWidth="true" hidden="false" outlineLevel="0" max="9" min="8" style="0" width="18"/>
    <col collapsed="false" customWidth="true" hidden="false" outlineLevel="0" max="10" min="10" style="0" width="38"/>
    <col collapsed="false" customWidth="true" hidden="false" outlineLevel="0" max="11" min="11" style="0" width="14"/>
    <col collapsed="false" customWidth="true" hidden="false" outlineLevel="0" max="13" min="12" style="0" width="38"/>
  </cols>
  <sheetData>
    <row r="1" customFormat="false" ht="23.85" hidden="false" customHeight="false" outlineLevel="0" collapsed="false">
      <c r="A1" s="9" t="s">
        <v>29</v>
      </c>
      <c r="B1" s="9" t="s">
        <v>30</v>
      </c>
      <c r="C1" s="9" t="s">
        <v>31</v>
      </c>
      <c r="D1" s="9" t="s">
        <v>32</v>
      </c>
      <c r="E1" s="9" t="s">
        <v>33</v>
      </c>
      <c r="F1" s="9" t="s">
        <v>34</v>
      </c>
      <c r="G1" s="9" t="s">
        <v>35</v>
      </c>
      <c r="H1" s="9" t="s">
        <v>36</v>
      </c>
      <c r="I1" s="9" t="s">
        <v>37</v>
      </c>
      <c r="J1" s="9" t="s">
        <v>38</v>
      </c>
      <c r="K1" s="9" t="s">
        <v>39</v>
      </c>
      <c r="L1" s="9" t="s">
        <v>40</v>
      </c>
      <c r="M1" s="9" t="s">
        <v>41</v>
      </c>
    </row>
    <row r="2" customFormat="false" ht="69.75" hidden="false" customHeight="true" outlineLevel="0" collapsed="false">
      <c r="A2" s="10" t="s">
        <v>42</v>
      </c>
      <c r="B2" s="11" t="s">
        <v>43</v>
      </c>
      <c r="C2" s="11" t="s">
        <v>11</v>
      </c>
      <c r="D2" s="11" t="s">
        <v>44</v>
      </c>
      <c r="E2" s="11" t="n">
        <v>1</v>
      </c>
      <c r="F2" s="11" t="s">
        <v>45</v>
      </c>
      <c r="G2" s="11" t="s">
        <v>46</v>
      </c>
      <c r="H2" s="11" t="s">
        <v>19</v>
      </c>
      <c r="I2" s="11" t="s">
        <v>47</v>
      </c>
      <c r="J2" s="11" t="s">
        <v>48</v>
      </c>
      <c r="K2" s="11"/>
      <c r="L2" s="11" t="s">
        <v>49</v>
      </c>
      <c r="M2" s="11" t="s">
        <v>50</v>
      </c>
    </row>
    <row r="3" customFormat="false" ht="69.75" hidden="false" customHeight="true" outlineLevel="0" collapsed="false">
      <c r="A3" s="10" t="s">
        <v>42</v>
      </c>
      <c r="B3" s="11" t="s">
        <v>51</v>
      </c>
      <c r="C3" s="11" t="s">
        <v>15</v>
      </c>
      <c r="D3" s="11" t="s">
        <v>52</v>
      </c>
      <c r="E3" s="11" t="n">
        <v>5</v>
      </c>
      <c r="F3" s="11" t="s">
        <v>53</v>
      </c>
      <c r="G3" s="11" t="s">
        <v>54</v>
      </c>
      <c r="H3" s="11" t="s">
        <v>19</v>
      </c>
      <c r="I3" s="11" t="s">
        <v>47</v>
      </c>
      <c r="J3" s="11" t="s">
        <v>55</v>
      </c>
      <c r="K3" s="11"/>
      <c r="L3" s="11" t="s">
        <v>56</v>
      </c>
      <c r="M3" s="11" t="s">
        <v>57</v>
      </c>
    </row>
    <row r="4" customFormat="false" ht="69.75" hidden="false" customHeight="true" outlineLevel="0" collapsed="false">
      <c r="A4" s="10" t="s">
        <v>42</v>
      </c>
      <c r="B4" s="11" t="s">
        <v>58</v>
      </c>
      <c r="C4" s="11" t="s">
        <v>14</v>
      </c>
      <c r="D4" s="11" t="s">
        <v>59</v>
      </c>
      <c r="E4" s="11" t="n">
        <v>12</v>
      </c>
      <c r="F4" s="11" t="s">
        <v>60</v>
      </c>
      <c r="G4" s="11" t="s">
        <v>61</v>
      </c>
      <c r="H4" s="11" t="s">
        <v>19</v>
      </c>
      <c r="I4" s="11" t="s">
        <v>47</v>
      </c>
      <c r="J4" s="11" t="s">
        <v>62</v>
      </c>
      <c r="K4" s="11"/>
      <c r="L4" s="11" t="s">
        <v>63</v>
      </c>
      <c r="M4" s="11" t="s">
        <v>64</v>
      </c>
    </row>
    <row r="5" customFormat="false" ht="69.75" hidden="false" customHeight="true" outlineLevel="0" collapsed="false">
      <c r="A5" s="10" t="s">
        <v>42</v>
      </c>
      <c r="B5" s="11" t="s">
        <v>65</v>
      </c>
      <c r="C5" s="11" t="s">
        <v>16</v>
      </c>
      <c r="D5" s="11" t="s">
        <v>66</v>
      </c>
      <c r="E5" s="11" t="n">
        <v>10</v>
      </c>
      <c r="F5" s="11" t="s">
        <v>67</v>
      </c>
      <c r="G5" s="11" t="s">
        <v>68</v>
      </c>
      <c r="H5" s="11" t="s">
        <v>19</v>
      </c>
      <c r="I5" s="11" t="s">
        <v>47</v>
      </c>
      <c r="J5" s="11" t="s">
        <v>69</v>
      </c>
      <c r="K5" s="11"/>
      <c r="L5" s="11" t="s">
        <v>70</v>
      </c>
      <c r="M5" s="11" t="s">
        <v>71</v>
      </c>
    </row>
    <row r="6" customFormat="false" ht="69.75" hidden="false" customHeight="true" outlineLevel="0" collapsed="false">
      <c r="A6" s="10" t="s">
        <v>42</v>
      </c>
      <c r="B6" s="11" t="s">
        <v>72</v>
      </c>
      <c r="C6" s="11" t="s">
        <v>16</v>
      </c>
      <c r="D6" s="11" t="s">
        <v>73</v>
      </c>
      <c r="E6" s="11" t="n">
        <v>10</v>
      </c>
      <c r="F6" s="11" t="s">
        <v>74</v>
      </c>
      <c r="G6" s="11" t="s">
        <v>75</v>
      </c>
      <c r="H6" s="11" t="s">
        <v>19</v>
      </c>
      <c r="I6" s="11" t="s">
        <v>47</v>
      </c>
      <c r="J6" s="11" t="s">
        <v>76</v>
      </c>
      <c r="K6" s="11"/>
      <c r="L6" s="11" t="s">
        <v>77</v>
      </c>
      <c r="M6" s="11"/>
    </row>
    <row r="7" customFormat="false" ht="69.75" hidden="false" customHeight="true" outlineLevel="0" collapsed="false">
      <c r="A7" s="10" t="s">
        <v>42</v>
      </c>
      <c r="B7" s="11" t="s">
        <v>78</v>
      </c>
      <c r="C7" s="11" t="s">
        <v>16</v>
      </c>
      <c r="D7" s="11" t="s">
        <v>52</v>
      </c>
      <c r="E7" s="11" t="n">
        <v>12</v>
      </c>
      <c r="F7" s="11" t="s">
        <v>79</v>
      </c>
      <c r="G7" s="11" t="s">
        <v>80</v>
      </c>
      <c r="H7" s="11" t="s">
        <v>19</v>
      </c>
      <c r="I7" s="11" t="s">
        <v>47</v>
      </c>
      <c r="J7" s="11" t="s">
        <v>81</v>
      </c>
      <c r="K7" s="11"/>
      <c r="L7" s="11" t="s">
        <v>77</v>
      </c>
      <c r="M7" s="11"/>
    </row>
    <row r="8" customFormat="false" ht="69.75" hidden="false" customHeight="true" outlineLevel="0" collapsed="false">
      <c r="A8" s="10" t="s">
        <v>42</v>
      </c>
      <c r="B8" s="11" t="s">
        <v>82</v>
      </c>
      <c r="C8" s="11" t="s">
        <v>17</v>
      </c>
      <c r="D8" s="11" t="s">
        <v>83</v>
      </c>
      <c r="E8" s="11" t="n">
        <v>13</v>
      </c>
      <c r="F8" s="11" t="s">
        <v>84</v>
      </c>
      <c r="G8" s="11" t="s">
        <v>85</v>
      </c>
      <c r="H8" s="11" t="s">
        <v>19</v>
      </c>
      <c r="I8" s="11" t="s">
        <v>47</v>
      </c>
      <c r="J8" s="11" t="s">
        <v>86</v>
      </c>
      <c r="K8" s="11"/>
      <c r="L8" s="11" t="s">
        <v>87</v>
      </c>
      <c r="M8" s="11" t="s">
        <v>88</v>
      </c>
    </row>
    <row r="9" customFormat="false" ht="69.75" hidden="false" customHeight="true" outlineLevel="0" collapsed="false">
      <c r="A9" s="10" t="s">
        <v>42</v>
      </c>
      <c r="B9" s="11" t="s">
        <v>89</v>
      </c>
      <c r="C9" s="11" t="s">
        <v>17</v>
      </c>
      <c r="D9" s="11" t="s">
        <v>83</v>
      </c>
      <c r="E9" s="11" t="n">
        <v>13</v>
      </c>
      <c r="F9" s="11" t="s">
        <v>90</v>
      </c>
      <c r="G9" s="11" t="s">
        <v>91</v>
      </c>
      <c r="H9" s="11" t="s">
        <v>19</v>
      </c>
      <c r="I9" s="11" t="s">
        <v>47</v>
      </c>
      <c r="J9" s="11" t="s">
        <v>92</v>
      </c>
      <c r="K9" s="11"/>
      <c r="L9" s="11" t="s">
        <v>93</v>
      </c>
      <c r="M9" s="11" t="s">
        <v>88</v>
      </c>
    </row>
    <row r="10" customFormat="false" ht="69.75" hidden="false" customHeight="true" outlineLevel="0" collapsed="false">
      <c r="A10" s="10" t="s">
        <v>42</v>
      </c>
      <c r="B10" s="11" t="s">
        <v>94</v>
      </c>
      <c r="C10" s="11" t="s">
        <v>17</v>
      </c>
      <c r="D10" s="11" t="s">
        <v>83</v>
      </c>
      <c r="E10" s="11" t="n">
        <v>13</v>
      </c>
      <c r="F10" s="11" t="s">
        <v>95</v>
      </c>
      <c r="G10" s="11" t="s">
        <v>96</v>
      </c>
      <c r="H10" s="11" t="s">
        <v>19</v>
      </c>
      <c r="I10" s="11" t="s">
        <v>47</v>
      </c>
      <c r="J10" s="11" t="s">
        <v>97</v>
      </c>
      <c r="K10" s="11"/>
      <c r="L10" s="11" t="s">
        <v>98</v>
      </c>
      <c r="M10" s="11" t="s">
        <v>99</v>
      </c>
    </row>
    <row r="11" customFormat="false" ht="69.75" hidden="false" customHeight="true" outlineLevel="0" collapsed="false">
      <c r="A11" s="10" t="s">
        <v>42</v>
      </c>
      <c r="B11" s="11" t="s">
        <v>100</v>
      </c>
      <c r="C11" s="11" t="s">
        <v>17</v>
      </c>
      <c r="D11" s="11" t="s">
        <v>83</v>
      </c>
      <c r="E11" s="11" t="n">
        <v>13</v>
      </c>
      <c r="F11" s="11" t="s">
        <v>101</v>
      </c>
      <c r="G11" s="11" t="s">
        <v>102</v>
      </c>
      <c r="H11" s="11" t="s">
        <v>19</v>
      </c>
      <c r="I11" s="11" t="s">
        <v>47</v>
      </c>
      <c r="J11" s="11" t="s">
        <v>103</v>
      </c>
      <c r="K11" s="11"/>
      <c r="L11" s="11" t="s">
        <v>104</v>
      </c>
      <c r="M11" s="11" t="s">
        <v>88</v>
      </c>
    </row>
    <row r="12" customFormat="false" ht="69.75" hidden="false" customHeight="true" outlineLevel="0" collapsed="false">
      <c r="A12" s="10" t="s">
        <v>42</v>
      </c>
      <c r="B12" s="11" t="s">
        <v>105</v>
      </c>
      <c r="C12" s="11" t="s">
        <v>17</v>
      </c>
      <c r="D12" s="11" t="s">
        <v>83</v>
      </c>
      <c r="E12" s="11" t="n">
        <v>13</v>
      </c>
      <c r="F12" s="11" t="s">
        <v>106</v>
      </c>
      <c r="G12" s="11" t="s">
        <v>107</v>
      </c>
      <c r="H12" s="11" t="s">
        <v>19</v>
      </c>
      <c r="I12" s="11" t="s">
        <v>47</v>
      </c>
      <c r="J12" s="11" t="s">
        <v>108</v>
      </c>
      <c r="K12" s="11"/>
      <c r="L12" s="11" t="s">
        <v>104</v>
      </c>
      <c r="M12" s="11" t="s">
        <v>88</v>
      </c>
    </row>
    <row r="13" customFormat="false" ht="69.75" hidden="false" customHeight="true" outlineLevel="0" collapsed="false">
      <c r="A13" s="12" t="s">
        <v>109</v>
      </c>
      <c r="B13" s="11" t="s">
        <v>110</v>
      </c>
      <c r="C13" s="11" t="s">
        <v>11</v>
      </c>
      <c r="D13" s="11" t="s">
        <v>83</v>
      </c>
      <c r="E13" s="11" t="n">
        <v>13</v>
      </c>
      <c r="F13" s="11" t="s">
        <v>111</v>
      </c>
      <c r="G13" s="11" t="s">
        <v>112</v>
      </c>
      <c r="H13" s="11" t="s">
        <v>19</v>
      </c>
      <c r="I13" s="11" t="s">
        <v>47</v>
      </c>
      <c r="J13" s="11" t="s">
        <v>113</v>
      </c>
      <c r="K13" s="11"/>
      <c r="L13" s="11" t="s">
        <v>114</v>
      </c>
      <c r="M13" s="11" t="s">
        <v>115</v>
      </c>
    </row>
    <row r="14" customFormat="false" ht="69.75" hidden="false" customHeight="true" outlineLevel="0" collapsed="false">
      <c r="A14" s="12" t="s">
        <v>109</v>
      </c>
      <c r="B14" s="11" t="s">
        <v>116</v>
      </c>
      <c r="C14" s="11" t="s">
        <v>13</v>
      </c>
      <c r="D14" s="11" t="s">
        <v>83</v>
      </c>
      <c r="E14" s="11" t="n">
        <v>13</v>
      </c>
      <c r="F14" s="11" t="s">
        <v>117</v>
      </c>
      <c r="G14" s="11" t="s">
        <v>118</v>
      </c>
      <c r="H14" s="11" t="s">
        <v>19</v>
      </c>
      <c r="I14" s="11" t="s">
        <v>47</v>
      </c>
      <c r="J14" s="11" t="s">
        <v>119</v>
      </c>
      <c r="K14" s="11"/>
      <c r="L14" s="11" t="s">
        <v>120</v>
      </c>
      <c r="M14" s="11" t="s">
        <v>121</v>
      </c>
    </row>
    <row r="15" customFormat="false" ht="69.75" hidden="false" customHeight="true" outlineLevel="0" collapsed="false">
      <c r="A15" s="12" t="s">
        <v>109</v>
      </c>
      <c r="B15" s="11" t="s">
        <v>122</v>
      </c>
      <c r="C15" s="11" t="s">
        <v>15</v>
      </c>
      <c r="D15" s="11" t="s">
        <v>123</v>
      </c>
      <c r="E15" s="11" t="n">
        <v>8</v>
      </c>
      <c r="F15" s="11" t="s">
        <v>124</v>
      </c>
      <c r="G15" s="11" t="s">
        <v>125</v>
      </c>
      <c r="H15" s="11" t="s">
        <v>19</v>
      </c>
      <c r="I15" s="11" t="s">
        <v>47</v>
      </c>
      <c r="J15" s="11" t="s">
        <v>126</v>
      </c>
      <c r="K15" s="11"/>
      <c r="L15" s="11" t="s">
        <v>127</v>
      </c>
      <c r="M15" s="11" t="s">
        <v>128</v>
      </c>
    </row>
    <row r="16" customFormat="false" ht="69.75" hidden="false" customHeight="true" outlineLevel="0" collapsed="false">
      <c r="A16" s="12" t="s">
        <v>109</v>
      </c>
      <c r="B16" s="11" t="s">
        <v>129</v>
      </c>
      <c r="C16" s="11" t="s">
        <v>15</v>
      </c>
      <c r="D16" s="11" t="s">
        <v>83</v>
      </c>
      <c r="E16" s="11" t="n">
        <v>13</v>
      </c>
      <c r="F16" s="11" t="s">
        <v>130</v>
      </c>
      <c r="G16" s="11" t="s">
        <v>131</v>
      </c>
      <c r="H16" s="11" t="s">
        <v>19</v>
      </c>
      <c r="I16" s="11" t="s">
        <v>47</v>
      </c>
      <c r="J16" s="11" t="s">
        <v>132</v>
      </c>
      <c r="K16" s="11"/>
      <c r="L16" s="11" t="s">
        <v>127</v>
      </c>
      <c r="M16" s="11" t="s">
        <v>133</v>
      </c>
    </row>
    <row r="17" customFormat="false" ht="69.75" hidden="false" customHeight="true" outlineLevel="0" collapsed="false">
      <c r="A17" s="12" t="s">
        <v>109</v>
      </c>
      <c r="B17" s="11" t="s">
        <v>134</v>
      </c>
      <c r="C17" s="11" t="s">
        <v>15</v>
      </c>
      <c r="D17" s="11" t="s">
        <v>135</v>
      </c>
      <c r="E17" s="11" t="n">
        <v>13</v>
      </c>
      <c r="F17" s="11" t="s">
        <v>136</v>
      </c>
      <c r="G17" s="11" t="s">
        <v>137</v>
      </c>
      <c r="H17" s="11" t="s">
        <v>19</v>
      </c>
      <c r="I17" s="11" t="s">
        <v>47</v>
      </c>
      <c r="J17" s="11" t="s">
        <v>138</v>
      </c>
      <c r="K17" s="11"/>
      <c r="L17" s="11" t="s">
        <v>139</v>
      </c>
      <c r="M17" s="11" t="s">
        <v>140</v>
      </c>
    </row>
    <row r="18" customFormat="false" ht="69.75" hidden="false" customHeight="true" outlineLevel="0" collapsed="false">
      <c r="A18" s="12" t="s">
        <v>109</v>
      </c>
      <c r="B18" s="11" t="s">
        <v>141</v>
      </c>
      <c r="C18" s="11" t="s">
        <v>16</v>
      </c>
      <c r="D18" s="11" t="s">
        <v>83</v>
      </c>
      <c r="E18" s="11" t="n">
        <v>13</v>
      </c>
      <c r="F18" s="11" t="s">
        <v>142</v>
      </c>
      <c r="G18" s="11" t="s">
        <v>143</v>
      </c>
      <c r="H18" s="11" t="s">
        <v>19</v>
      </c>
      <c r="I18" s="11" t="s">
        <v>47</v>
      </c>
      <c r="J18" s="11" t="s">
        <v>144</v>
      </c>
      <c r="K18" s="11"/>
      <c r="L18" s="11" t="s">
        <v>145</v>
      </c>
      <c r="M18" s="11" t="s">
        <v>146</v>
      </c>
    </row>
    <row r="19" customFormat="false" ht="69.75" hidden="false" customHeight="true" outlineLevel="0" collapsed="false">
      <c r="A19" s="12" t="s">
        <v>109</v>
      </c>
      <c r="B19" s="11" t="s">
        <v>147</v>
      </c>
      <c r="C19" s="11" t="s">
        <v>16</v>
      </c>
      <c r="D19" s="11" t="s">
        <v>83</v>
      </c>
      <c r="E19" s="11" t="n">
        <v>13</v>
      </c>
      <c r="F19" s="11" t="s">
        <v>148</v>
      </c>
      <c r="G19" s="11" t="s">
        <v>149</v>
      </c>
      <c r="H19" s="11" t="s">
        <v>19</v>
      </c>
      <c r="I19" s="11" t="s">
        <v>47</v>
      </c>
      <c r="J19" s="11" t="s">
        <v>150</v>
      </c>
      <c r="K19" s="11"/>
      <c r="L19" s="11" t="s">
        <v>139</v>
      </c>
      <c r="M19" s="11"/>
    </row>
    <row r="20" customFormat="false" ht="69.75" hidden="false" customHeight="true" outlineLevel="0" collapsed="false">
      <c r="A20" s="12" t="s">
        <v>109</v>
      </c>
      <c r="B20" s="11" t="s">
        <v>151</v>
      </c>
      <c r="C20" s="11" t="s">
        <v>16</v>
      </c>
      <c r="D20" s="11" t="s">
        <v>152</v>
      </c>
      <c r="E20" s="11" t="n">
        <v>8</v>
      </c>
      <c r="F20" s="11" t="s">
        <v>153</v>
      </c>
      <c r="G20" s="11" t="s">
        <v>149</v>
      </c>
      <c r="H20" s="11" t="s">
        <v>19</v>
      </c>
      <c r="I20" s="11" t="s">
        <v>47</v>
      </c>
      <c r="J20" s="11" t="s">
        <v>154</v>
      </c>
      <c r="K20" s="11"/>
      <c r="L20" s="11" t="s">
        <v>139</v>
      </c>
      <c r="M20" s="11" t="s">
        <v>155</v>
      </c>
    </row>
    <row r="21" customFormat="false" ht="69.75" hidden="false" customHeight="true" outlineLevel="0" collapsed="false">
      <c r="A21" s="12" t="s">
        <v>109</v>
      </c>
      <c r="B21" s="11" t="s">
        <v>156</v>
      </c>
      <c r="C21" s="11" t="s">
        <v>16</v>
      </c>
      <c r="D21" s="11" t="s">
        <v>83</v>
      </c>
      <c r="E21" s="11" t="n">
        <v>13</v>
      </c>
      <c r="F21" s="11" t="s">
        <v>157</v>
      </c>
      <c r="G21" s="11" t="s">
        <v>149</v>
      </c>
      <c r="H21" s="11" t="s">
        <v>19</v>
      </c>
      <c r="I21" s="11" t="s">
        <v>47</v>
      </c>
      <c r="J21" s="11" t="s">
        <v>158</v>
      </c>
      <c r="K21" s="11"/>
      <c r="L21" s="11" t="s">
        <v>139</v>
      </c>
      <c r="M21" s="11"/>
    </row>
    <row r="22" customFormat="false" ht="69.75" hidden="false" customHeight="true" outlineLevel="0" collapsed="false">
      <c r="A22" s="12" t="s">
        <v>109</v>
      </c>
      <c r="B22" s="11" t="s">
        <v>159</v>
      </c>
      <c r="C22" s="11" t="s">
        <v>16</v>
      </c>
      <c r="D22" s="11" t="s">
        <v>83</v>
      </c>
      <c r="E22" s="11" t="n">
        <v>13</v>
      </c>
      <c r="F22" s="11" t="s">
        <v>160</v>
      </c>
      <c r="G22" s="11" t="s">
        <v>149</v>
      </c>
      <c r="H22" s="11" t="s">
        <v>19</v>
      </c>
      <c r="I22" s="11" t="s">
        <v>47</v>
      </c>
      <c r="J22" s="11" t="s">
        <v>161</v>
      </c>
      <c r="K22" s="11"/>
      <c r="L22" s="11" t="s">
        <v>139</v>
      </c>
      <c r="M22" s="11"/>
    </row>
    <row r="23" customFormat="false" ht="69.75" hidden="false" customHeight="true" outlineLevel="0" collapsed="false">
      <c r="A23" s="12" t="s">
        <v>109</v>
      </c>
      <c r="B23" s="11" t="s">
        <v>162</v>
      </c>
      <c r="C23" s="11" t="s">
        <v>16</v>
      </c>
      <c r="D23" s="11" t="s">
        <v>163</v>
      </c>
      <c r="E23" s="11" t="n">
        <v>18</v>
      </c>
      <c r="F23" s="11" t="s">
        <v>164</v>
      </c>
      <c r="G23" s="11" t="s">
        <v>149</v>
      </c>
      <c r="H23" s="11" t="s">
        <v>19</v>
      </c>
      <c r="I23" s="11" t="s">
        <v>47</v>
      </c>
      <c r="J23" s="11" t="s">
        <v>165</v>
      </c>
      <c r="K23" s="11"/>
      <c r="L23" s="11" t="s">
        <v>139</v>
      </c>
      <c r="M23" s="11" t="s">
        <v>166</v>
      </c>
    </row>
    <row r="24" customFormat="false" ht="69.75" hidden="false" customHeight="true" outlineLevel="0" collapsed="false">
      <c r="A24" s="12" t="s">
        <v>109</v>
      </c>
      <c r="B24" s="11" t="s">
        <v>167</v>
      </c>
      <c r="C24" s="11" t="s">
        <v>16</v>
      </c>
      <c r="D24" s="11" t="s">
        <v>83</v>
      </c>
      <c r="E24" s="11" t="n">
        <v>13</v>
      </c>
      <c r="F24" s="11" t="s">
        <v>168</v>
      </c>
      <c r="G24" s="11" t="s">
        <v>149</v>
      </c>
      <c r="H24" s="11" t="s">
        <v>19</v>
      </c>
      <c r="I24" s="11" t="s">
        <v>47</v>
      </c>
      <c r="J24" s="11" t="s">
        <v>169</v>
      </c>
      <c r="K24" s="11"/>
      <c r="L24" s="11" t="s">
        <v>139</v>
      </c>
      <c r="M24" s="11"/>
    </row>
    <row r="25" customFormat="false" ht="69.75" hidden="false" customHeight="true" outlineLevel="0" collapsed="false">
      <c r="A25" s="12" t="s">
        <v>109</v>
      </c>
      <c r="B25" s="11" t="s">
        <v>170</v>
      </c>
      <c r="C25" s="11" t="s">
        <v>16</v>
      </c>
      <c r="D25" s="11" t="s">
        <v>83</v>
      </c>
      <c r="E25" s="11" t="n">
        <v>13</v>
      </c>
      <c r="F25" s="11" t="s">
        <v>171</v>
      </c>
      <c r="G25" s="11" t="s">
        <v>149</v>
      </c>
      <c r="H25" s="11" t="s">
        <v>19</v>
      </c>
      <c r="I25" s="11" t="s">
        <v>47</v>
      </c>
      <c r="J25" s="11" t="s">
        <v>172</v>
      </c>
      <c r="K25" s="11"/>
      <c r="L25" s="11" t="s">
        <v>139</v>
      </c>
      <c r="M25" s="11"/>
    </row>
    <row r="26" customFormat="false" ht="69.75" hidden="false" customHeight="true" outlineLevel="0" collapsed="false">
      <c r="A26" s="12" t="s">
        <v>109</v>
      </c>
      <c r="B26" s="11" t="s">
        <v>173</v>
      </c>
      <c r="C26" s="11" t="s">
        <v>16</v>
      </c>
      <c r="D26" s="11" t="s">
        <v>152</v>
      </c>
      <c r="E26" s="11" t="n">
        <v>8</v>
      </c>
      <c r="F26" s="11" t="s">
        <v>174</v>
      </c>
      <c r="G26" s="11" t="s">
        <v>149</v>
      </c>
      <c r="H26" s="11" t="s">
        <v>19</v>
      </c>
      <c r="I26" s="11" t="s">
        <v>47</v>
      </c>
      <c r="J26" s="11" t="s">
        <v>175</v>
      </c>
      <c r="K26" s="11"/>
      <c r="L26" s="11" t="s">
        <v>139</v>
      </c>
      <c r="M26" s="11" t="s">
        <v>176</v>
      </c>
    </row>
    <row r="27" customFormat="false" ht="69.75" hidden="false" customHeight="true" outlineLevel="0" collapsed="false">
      <c r="A27" s="13" t="s">
        <v>177</v>
      </c>
      <c r="B27" s="11" t="s">
        <v>178</v>
      </c>
      <c r="C27" s="11" t="s">
        <v>12</v>
      </c>
      <c r="D27" s="11" t="s">
        <v>179</v>
      </c>
      <c r="E27" s="11" t="n">
        <v>80</v>
      </c>
      <c r="F27" s="11" t="s">
        <v>180</v>
      </c>
      <c r="G27" s="11" t="s">
        <v>181</v>
      </c>
      <c r="H27" s="11" t="s">
        <v>19</v>
      </c>
      <c r="I27" s="11" t="s">
        <v>47</v>
      </c>
      <c r="J27" s="11" t="s">
        <v>182</v>
      </c>
      <c r="K27" s="11"/>
      <c r="L27" s="11" t="s">
        <v>139</v>
      </c>
      <c r="M27" s="11" t="s">
        <v>183</v>
      </c>
    </row>
    <row r="28" customFormat="false" ht="69.75" hidden="false" customHeight="true" outlineLevel="0" collapsed="false">
      <c r="A28" s="13" t="s">
        <v>177</v>
      </c>
      <c r="B28" s="11" t="s">
        <v>184</v>
      </c>
      <c r="C28" s="11" t="s">
        <v>11</v>
      </c>
      <c r="D28" s="11" t="s">
        <v>179</v>
      </c>
      <c r="E28" s="11" t="n">
        <v>80</v>
      </c>
      <c r="F28" s="11" t="s">
        <v>185</v>
      </c>
      <c r="G28" s="11" t="s">
        <v>186</v>
      </c>
      <c r="H28" s="11" t="s">
        <v>19</v>
      </c>
      <c r="I28" s="11" t="s">
        <v>47</v>
      </c>
      <c r="J28" s="11" t="s">
        <v>187</v>
      </c>
      <c r="K28" s="11"/>
      <c r="L28" s="11" t="s">
        <v>139</v>
      </c>
      <c r="M28" s="11" t="s">
        <v>188</v>
      </c>
    </row>
    <row r="29" customFormat="false" ht="69.75" hidden="false" customHeight="true" outlineLevel="0" collapsed="false">
      <c r="A29" s="13" t="s">
        <v>177</v>
      </c>
      <c r="B29" s="11" t="s">
        <v>189</v>
      </c>
      <c r="C29" s="11" t="s">
        <v>11</v>
      </c>
      <c r="D29" s="11" t="s">
        <v>190</v>
      </c>
      <c r="E29" s="11" t="n">
        <v>110</v>
      </c>
      <c r="F29" s="11" t="s">
        <v>191</v>
      </c>
      <c r="G29" s="11" t="s">
        <v>192</v>
      </c>
      <c r="H29" s="11" t="s">
        <v>19</v>
      </c>
      <c r="I29" s="11" t="s">
        <v>47</v>
      </c>
      <c r="J29" s="11" t="s">
        <v>193</v>
      </c>
      <c r="K29" s="11"/>
      <c r="L29" s="11" t="s">
        <v>139</v>
      </c>
      <c r="M29" s="11" t="s">
        <v>194</v>
      </c>
    </row>
    <row r="30" customFormat="false" ht="69.75" hidden="false" customHeight="true" outlineLevel="0" collapsed="false">
      <c r="A30" s="13" t="s">
        <v>177</v>
      </c>
      <c r="B30" s="11" t="s">
        <v>195</v>
      </c>
      <c r="C30" s="11" t="s">
        <v>14</v>
      </c>
      <c r="D30" s="11" t="s">
        <v>179</v>
      </c>
      <c r="E30" s="11" t="n">
        <v>80</v>
      </c>
      <c r="F30" s="11" t="s">
        <v>196</v>
      </c>
      <c r="G30" s="11" t="s">
        <v>197</v>
      </c>
      <c r="H30" s="11" t="s">
        <v>19</v>
      </c>
      <c r="I30" s="11" t="s">
        <v>47</v>
      </c>
      <c r="J30" s="11" t="s">
        <v>198</v>
      </c>
      <c r="K30" s="11"/>
      <c r="L30" s="11" t="s">
        <v>199</v>
      </c>
      <c r="M30" s="11" t="s">
        <v>200</v>
      </c>
    </row>
    <row r="31" customFormat="false" ht="69.75" hidden="false" customHeight="true" outlineLevel="0" collapsed="false">
      <c r="A31" s="13" t="s">
        <v>177</v>
      </c>
      <c r="B31" s="11" t="s">
        <v>201</v>
      </c>
      <c r="C31" s="11" t="s">
        <v>11</v>
      </c>
      <c r="D31" s="11" t="s">
        <v>202</v>
      </c>
      <c r="E31" s="11" t="n">
        <v>10</v>
      </c>
      <c r="F31" s="11" t="s">
        <v>203</v>
      </c>
      <c r="G31" s="11" t="s">
        <v>204</v>
      </c>
      <c r="H31" s="11" t="s">
        <v>19</v>
      </c>
      <c r="I31" s="11" t="s">
        <v>47</v>
      </c>
      <c r="J31" s="11" t="s">
        <v>205</v>
      </c>
      <c r="K31" s="11"/>
      <c r="L31" s="11" t="s">
        <v>139</v>
      </c>
      <c r="M31" s="11" t="s">
        <v>206</v>
      </c>
    </row>
    <row r="32" customFormat="false" ht="69.75" hidden="false" customHeight="true" outlineLevel="0" collapsed="false">
      <c r="A32" s="13" t="s">
        <v>177</v>
      </c>
      <c r="B32" s="11" t="s">
        <v>207</v>
      </c>
      <c r="C32" s="11" t="s">
        <v>11</v>
      </c>
      <c r="D32" s="11" t="s">
        <v>83</v>
      </c>
      <c r="E32" s="11" t="n">
        <v>13</v>
      </c>
      <c r="F32" s="11" t="s">
        <v>208</v>
      </c>
      <c r="G32" s="11" t="s">
        <v>209</v>
      </c>
      <c r="H32" s="11" t="s">
        <v>19</v>
      </c>
      <c r="I32" s="11" t="s">
        <v>47</v>
      </c>
      <c r="J32" s="11" t="s">
        <v>210</v>
      </c>
      <c r="K32" s="11"/>
      <c r="L32" s="11" t="s">
        <v>139</v>
      </c>
      <c r="M32" s="11"/>
    </row>
    <row r="33" customFormat="false" ht="69.75" hidden="false" customHeight="true" outlineLevel="0" collapsed="false">
      <c r="A33" s="13" t="s">
        <v>177</v>
      </c>
      <c r="B33" s="11" t="s">
        <v>211</v>
      </c>
      <c r="C33" s="11" t="s">
        <v>11</v>
      </c>
      <c r="D33" s="11" t="s">
        <v>212</v>
      </c>
      <c r="E33" s="11" t="n">
        <v>10</v>
      </c>
      <c r="F33" s="11" t="s">
        <v>213</v>
      </c>
      <c r="G33" s="11" t="s">
        <v>214</v>
      </c>
      <c r="H33" s="11" t="s">
        <v>19</v>
      </c>
      <c r="I33" s="11" t="s">
        <v>47</v>
      </c>
      <c r="J33" s="11" t="s">
        <v>215</v>
      </c>
      <c r="K33" s="11"/>
      <c r="L33" s="11" t="s">
        <v>139</v>
      </c>
      <c r="M33" s="11"/>
    </row>
    <row r="34" customFormat="false" ht="69.75" hidden="false" customHeight="true" outlineLevel="0" collapsed="false">
      <c r="A34" s="13" t="s">
        <v>177</v>
      </c>
      <c r="B34" s="11" t="s">
        <v>216</v>
      </c>
      <c r="C34" s="11" t="s">
        <v>16</v>
      </c>
      <c r="D34" s="11" t="s">
        <v>83</v>
      </c>
      <c r="E34" s="11" t="n">
        <v>13</v>
      </c>
      <c r="F34" s="11" t="s">
        <v>217</v>
      </c>
      <c r="G34" s="11" t="s">
        <v>149</v>
      </c>
      <c r="H34" s="11" t="s">
        <v>19</v>
      </c>
      <c r="I34" s="11" t="s">
        <v>47</v>
      </c>
      <c r="J34" s="11" t="s">
        <v>218</v>
      </c>
      <c r="K34" s="11"/>
      <c r="L34" s="11" t="s">
        <v>139</v>
      </c>
      <c r="M34" s="11"/>
    </row>
  </sheetData>
  <autoFilter ref="A1:M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00"/>
  </cols>
  <sheetData>
    <row r="1" customFormat="false" ht="15" hidden="false" customHeight="false" outlineLevel="0" collapsed="false">
      <c r="A1" s="9" t="s">
        <v>30</v>
      </c>
      <c r="B1" s="9" t="s">
        <v>219</v>
      </c>
    </row>
    <row r="2" customFormat="false" ht="79.5" hidden="false" customHeight="true" outlineLevel="0" collapsed="false">
      <c r="A2" s="11" t="s">
        <v>43</v>
      </c>
      <c r="B2" s="11" t="s">
        <v>220</v>
      </c>
    </row>
    <row r="3" customFormat="false" ht="79.5" hidden="false" customHeight="true" outlineLevel="0" collapsed="false">
      <c r="A3" s="11" t="s">
        <v>51</v>
      </c>
      <c r="B3" s="11" t="s">
        <v>221</v>
      </c>
    </row>
    <row r="4" customFormat="false" ht="79.5" hidden="false" customHeight="true" outlineLevel="0" collapsed="false">
      <c r="A4" s="11" t="s">
        <v>58</v>
      </c>
      <c r="B4" s="11" t="s">
        <v>222</v>
      </c>
    </row>
    <row r="5" customFormat="false" ht="79.5" hidden="false" customHeight="true" outlineLevel="0" collapsed="false">
      <c r="A5" s="11" t="s">
        <v>65</v>
      </c>
      <c r="B5" s="11" t="s">
        <v>223</v>
      </c>
    </row>
    <row r="6" customFormat="false" ht="79.5" hidden="false" customHeight="true" outlineLevel="0" collapsed="false">
      <c r="A6" s="11" t="s">
        <v>72</v>
      </c>
      <c r="B6" s="11" t="s">
        <v>224</v>
      </c>
    </row>
    <row r="7" customFormat="false" ht="79.5" hidden="false" customHeight="true" outlineLevel="0" collapsed="false">
      <c r="A7" s="11" t="s">
        <v>78</v>
      </c>
      <c r="B7" s="11" t="s">
        <v>225</v>
      </c>
    </row>
    <row r="8" customFormat="false" ht="79.5" hidden="false" customHeight="true" outlineLevel="0" collapsed="false">
      <c r="A8" s="11" t="s">
        <v>82</v>
      </c>
      <c r="B8" s="11" t="s">
        <v>226</v>
      </c>
    </row>
    <row r="9" customFormat="false" ht="79.5" hidden="false" customHeight="true" outlineLevel="0" collapsed="false">
      <c r="A9" s="11" t="s">
        <v>89</v>
      </c>
      <c r="B9" s="11" t="s">
        <v>227</v>
      </c>
    </row>
    <row r="10" customFormat="false" ht="79.5" hidden="false" customHeight="true" outlineLevel="0" collapsed="false">
      <c r="A10" s="11" t="s">
        <v>94</v>
      </c>
      <c r="B10" s="11" t="s">
        <v>228</v>
      </c>
    </row>
    <row r="11" customFormat="false" ht="79.5" hidden="false" customHeight="true" outlineLevel="0" collapsed="false">
      <c r="A11" s="11" t="s">
        <v>100</v>
      </c>
      <c r="B11" s="11" t="s">
        <v>229</v>
      </c>
    </row>
    <row r="12" customFormat="false" ht="79.5" hidden="false" customHeight="true" outlineLevel="0" collapsed="false">
      <c r="A12" s="11" t="s">
        <v>105</v>
      </c>
      <c r="B12" s="11" t="s">
        <v>230</v>
      </c>
    </row>
    <row r="13" customFormat="false" ht="79.5" hidden="false" customHeight="true" outlineLevel="0" collapsed="false">
      <c r="A13" s="11" t="s">
        <v>110</v>
      </c>
      <c r="B13" s="11" t="s">
        <v>231</v>
      </c>
    </row>
    <row r="14" customFormat="false" ht="79.5" hidden="false" customHeight="true" outlineLevel="0" collapsed="false">
      <c r="A14" s="11" t="s">
        <v>116</v>
      </c>
      <c r="B14" s="11" t="s">
        <v>232</v>
      </c>
    </row>
    <row r="15" customFormat="false" ht="79.5" hidden="false" customHeight="true" outlineLevel="0" collapsed="false">
      <c r="A15" s="11" t="s">
        <v>122</v>
      </c>
      <c r="B15" s="11" t="s">
        <v>233</v>
      </c>
    </row>
    <row r="16" customFormat="false" ht="79.5" hidden="false" customHeight="true" outlineLevel="0" collapsed="false">
      <c r="A16" s="11" t="s">
        <v>129</v>
      </c>
      <c r="B16" s="11" t="s">
        <v>234</v>
      </c>
    </row>
    <row r="17" customFormat="false" ht="79.5" hidden="false" customHeight="true" outlineLevel="0" collapsed="false">
      <c r="A17" s="11" t="s">
        <v>134</v>
      </c>
      <c r="B17" s="11" t="s">
        <v>235</v>
      </c>
    </row>
    <row r="18" customFormat="false" ht="79.5" hidden="false" customHeight="true" outlineLevel="0" collapsed="false">
      <c r="A18" s="11" t="s">
        <v>141</v>
      </c>
      <c r="B18" s="11" t="s">
        <v>236</v>
      </c>
    </row>
    <row r="19" customFormat="false" ht="79.5" hidden="false" customHeight="true" outlineLevel="0" collapsed="false">
      <c r="A19" s="11" t="s">
        <v>147</v>
      </c>
      <c r="B19" s="11" t="s">
        <v>237</v>
      </c>
    </row>
    <row r="20" customFormat="false" ht="79.5" hidden="false" customHeight="true" outlineLevel="0" collapsed="false">
      <c r="A20" s="11" t="s">
        <v>151</v>
      </c>
      <c r="B20" s="11" t="s">
        <v>238</v>
      </c>
    </row>
    <row r="21" customFormat="false" ht="79.5" hidden="false" customHeight="true" outlineLevel="0" collapsed="false">
      <c r="A21" s="11" t="s">
        <v>156</v>
      </c>
      <c r="B21" s="11" t="s">
        <v>239</v>
      </c>
    </row>
    <row r="22" customFormat="false" ht="79.5" hidden="false" customHeight="true" outlineLevel="0" collapsed="false">
      <c r="A22" s="11" t="s">
        <v>159</v>
      </c>
      <c r="B22" s="11" t="s">
        <v>240</v>
      </c>
    </row>
    <row r="23" customFormat="false" ht="79.5" hidden="false" customHeight="true" outlineLevel="0" collapsed="false">
      <c r="A23" s="11" t="s">
        <v>162</v>
      </c>
      <c r="B23" s="11" t="s">
        <v>241</v>
      </c>
    </row>
    <row r="24" customFormat="false" ht="79.5" hidden="false" customHeight="true" outlineLevel="0" collapsed="false">
      <c r="A24" s="11" t="s">
        <v>167</v>
      </c>
      <c r="B24" s="11" t="s">
        <v>242</v>
      </c>
    </row>
    <row r="25" customFormat="false" ht="79.5" hidden="false" customHeight="true" outlineLevel="0" collapsed="false">
      <c r="A25" s="11" t="s">
        <v>170</v>
      </c>
      <c r="B25" s="11" t="s">
        <v>243</v>
      </c>
    </row>
    <row r="26" customFormat="false" ht="79.5" hidden="false" customHeight="true" outlineLevel="0" collapsed="false">
      <c r="A26" s="11" t="s">
        <v>173</v>
      </c>
      <c r="B26" s="11" t="s">
        <v>244</v>
      </c>
    </row>
    <row r="27" customFormat="false" ht="79.5" hidden="false" customHeight="true" outlineLevel="0" collapsed="false">
      <c r="A27" s="11" t="s">
        <v>178</v>
      </c>
      <c r="B27" s="11" t="s">
        <v>245</v>
      </c>
    </row>
    <row r="28" customFormat="false" ht="79.5" hidden="false" customHeight="true" outlineLevel="0" collapsed="false">
      <c r="A28" s="11" t="s">
        <v>184</v>
      </c>
      <c r="B28" s="11" t="s">
        <v>246</v>
      </c>
    </row>
    <row r="29" customFormat="false" ht="79.5" hidden="false" customHeight="true" outlineLevel="0" collapsed="false">
      <c r="A29" s="11" t="s">
        <v>189</v>
      </c>
      <c r="B29" s="11" t="s">
        <v>247</v>
      </c>
    </row>
    <row r="30" customFormat="false" ht="79.5" hidden="false" customHeight="true" outlineLevel="0" collapsed="false">
      <c r="A30" s="11" t="s">
        <v>195</v>
      </c>
      <c r="B30" s="11" t="s">
        <v>248</v>
      </c>
    </row>
    <row r="31" customFormat="false" ht="79.5" hidden="false" customHeight="true" outlineLevel="0" collapsed="false">
      <c r="A31" s="11" t="s">
        <v>201</v>
      </c>
      <c r="B31" s="11" t="s">
        <v>249</v>
      </c>
    </row>
    <row r="32" customFormat="false" ht="79.5" hidden="false" customHeight="true" outlineLevel="0" collapsed="false">
      <c r="A32" s="11" t="s">
        <v>207</v>
      </c>
      <c r="B32" s="11" t="s">
        <v>250</v>
      </c>
    </row>
    <row r="33" customFormat="false" ht="79.5" hidden="false" customHeight="true" outlineLevel="0" collapsed="false">
      <c r="A33" s="11" t="s">
        <v>211</v>
      </c>
      <c r="B33" s="11" t="s">
        <v>251</v>
      </c>
    </row>
    <row r="34" customFormat="false" ht="79.5" hidden="false" customHeight="true" outlineLevel="0" collapsed="false">
      <c r="A34" s="11" t="s">
        <v>216</v>
      </c>
      <c r="B34" s="11"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4" min="3" style="0" width="24"/>
    <col collapsed="false" customWidth="true" hidden="false" outlineLevel="0" max="5" min="5" style="0" width="14"/>
    <col collapsed="false" customWidth="true" hidden="false" outlineLevel="0" max="7" min="6" style="0" width="30"/>
    <col collapsed="false" customWidth="true" hidden="false" outlineLevel="0" max="8" min="8" style="0" width="40"/>
  </cols>
  <sheetData>
    <row r="1" customFormat="false" ht="15" hidden="false" customHeight="false" outlineLevel="0" collapsed="false">
      <c r="A1" s="9" t="s">
        <v>253</v>
      </c>
      <c r="B1" s="9" t="s">
        <v>30</v>
      </c>
      <c r="C1" s="9" t="s">
        <v>254</v>
      </c>
      <c r="D1" s="9" t="s">
        <v>255</v>
      </c>
      <c r="E1" s="9" t="s">
        <v>256</v>
      </c>
      <c r="F1" s="9" t="s">
        <v>257</v>
      </c>
      <c r="G1" s="9" t="s">
        <v>40</v>
      </c>
      <c r="H1" s="9" t="s">
        <v>258</v>
      </c>
    </row>
    <row r="2" customFormat="false" ht="27.75" hidden="false" customHeight="true" outlineLevel="0" collapsed="false">
      <c r="A2" s="14"/>
      <c r="B2" s="14"/>
      <c r="C2" s="14"/>
      <c r="D2" s="14"/>
      <c r="E2" s="14"/>
      <c r="F2" s="14"/>
      <c r="G2" s="14"/>
      <c r="H2" s="14"/>
    </row>
    <row r="3" customFormat="false" ht="27.75" hidden="false" customHeight="true" outlineLevel="0" collapsed="false">
      <c r="A3" s="14"/>
      <c r="B3" s="14"/>
      <c r="C3" s="14"/>
      <c r="D3" s="14"/>
      <c r="E3" s="14"/>
      <c r="F3" s="14"/>
      <c r="G3" s="14"/>
      <c r="H3" s="14"/>
    </row>
    <row r="4" customFormat="false" ht="27.75" hidden="false" customHeight="true" outlineLevel="0" collapsed="false">
      <c r="A4" s="14"/>
      <c r="B4" s="14"/>
      <c r="C4" s="14"/>
      <c r="D4" s="14"/>
      <c r="E4" s="14"/>
      <c r="F4" s="14"/>
      <c r="G4" s="14"/>
      <c r="H4" s="14"/>
    </row>
    <row r="5" customFormat="false" ht="27.75" hidden="false" customHeight="true" outlineLevel="0" collapsed="false">
      <c r="A5" s="14"/>
      <c r="B5" s="14"/>
      <c r="C5" s="14"/>
      <c r="D5" s="14"/>
      <c r="E5" s="14"/>
      <c r="F5" s="14"/>
      <c r="G5" s="14"/>
      <c r="H5" s="14"/>
    </row>
    <row r="6" customFormat="false" ht="27.75" hidden="false" customHeight="true" outlineLevel="0" collapsed="false">
      <c r="A6" s="14"/>
      <c r="B6" s="14"/>
      <c r="C6" s="14"/>
      <c r="D6" s="14"/>
      <c r="E6" s="14"/>
      <c r="F6" s="14"/>
      <c r="G6" s="14"/>
      <c r="H6" s="14"/>
    </row>
    <row r="7" customFormat="false" ht="27.75" hidden="false" customHeight="true" outlineLevel="0" collapsed="false">
      <c r="A7" s="14"/>
      <c r="B7" s="14"/>
      <c r="C7" s="14"/>
      <c r="D7" s="14"/>
      <c r="E7" s="14"/>
      <c r="F7" s="14"/>
      <c r="G7" s="14"/>
      <c r="H7" s="14"/>
    </row>
    <row r="8" customFormat="false" ht="27.75" hidden="false" customHeight="true" outlineLevel="0" collapsed="false">
      <c r="A8" s="14"/>
      <c r="B8" s="14"/>
      <c r="C8" s="14"/>
      <c r="D8" s="14"/>
      <c r="E8" s="14"/>
      <c r="F8" s="14"/>
      <c r="G8" s="14"/>
      <c r="H8" s="14"/>
    </row>
    <row r="9" customFormat="false" ht="27.75" hidden="false" customHeight="true" outlineLevel="0" collapsed="false">
      <c r="A9" s="14"/>
      <c r="B9" s="14"/>
      <c r="C9" s="14"/>
      <c r="D9" s="14"/>
      <c r="E9" s="14"/>
      <c r="F9" s="14"/>
      <c r="G9" s="14"/>
      <c r="H9" s="14"/>
    </row>
    <row r="10" customFormat="false" ht="27.75" hidden="false" customHeight="true" outlineLevel="0" collapsed="false">
      <c r="A10" s="14"/>
      <c r="B10" s="14"/>
      <c r="C10" s="14"/>
      <c r="D10" s="14"/>
      <c r="E10" s="14"/>
      <c r="F10" s="14"/>
      <c r="G10" s="14"/>
      <c r="H10" s="14"/>
    </row>
    <row r="11" customFormat="false" ht="27.75" hidden="false" customHeight="true" outlineLevel="0" collapsed="false">
      <c r="A11" s="14"/>
      <c r="B11" s="14"/>
      <c r="C11" s="14"/>
      <c r="D11" s="14"/>
      <c r="E11" s="14"/>
      <c r="F11" s="14"/>
      <c r="G11" s="14"/>
      <c r="H11" s="14"/>
    </row>
    <row r="12" customFormat="false" ht="27.75" hidden="false" customHeight="true" outlineLevel="0" collapsed="false">
      <c r="A12" s="14"/>
      <c r="B12" s="14"/>
      <c r="C12" s="14"/>
      <c r="D12" s="14"/>
      <c r="E12" s="14"/>
      <c r="F12" s="14"/>
      <c r="G12" s="14"/>
      <c r="H12" s="14"/>
    </row>
    <row r="13" customFormat="false" ht="27.75" hidden="false" customHeight="true" outlineLevel="0" collapsed="false">
      <c r="A13" s="14"/>
      <c r="B13" s="14"/>
      <c r="C13" s="14"/>
      <c r="D13" s="14"/>
      <c r="E13" s="14"/>
      <c r="F13" s="14"/>
      <c r="G13" s="14"/>
      <c r="H13" s="14"/>
    </row>
    <row r="14" customFormat="false" ht="27.75" hidden="false" customHeight="true" outlineLevel="0" collapsed="false">
      <c r="A14" s="14"/>
      <c r="B14" s="14"/>
      <c r="C14" s="14"/>
      <c r="D14" s="14"/>
      <c r="E14" s="14"/>
      <c r="F14" s="14"/>
      <c r="G14" s="14"/>
      <c r="H14" s="14"/>
    </row>
    <row r="15" customFormat="false" ht="27.75" hidden="false" customHeight="true" outlineLevel="0" collapsed="false">
      <c r="A15" s="14"/>
      <c r="B15" s="14"/>
      <c r="C15" s="14"/>
      <c r="D15" s="14"/>
      <c r="E15" s="14"/>
      <c r="F15" s="14"/>
      <c r="G15" s="14"/>
      <c r="H15" s="14"/>
    </row>
    <row r="16" customFormat="false" ht="27.75" hidden="false" customHeight="true" outlineLevel="0" collapsed="false">
      <c r="A16" s="14"/>
      <c r="B16" s="14"/>
      <c r="C16" s="14"/>
      <c r="D16" s="14"/>
      <c r="E16" s="14"/>
      <c r="F16" s="14"/>
      <c r="G16" s="14"/>
      <c r="H16" s="14"/>
    </row>
    <row r="17" customFormat="false" ht="27.75" hidden="false" customHeight="true" outlineLevel="0" collapsed="false">
      <c r="A17" s="14"/>
      <c r="B17" s="14"/>
      <c r="C17" s="14"/>
      <c r="D17" s="14"/>
      <c r="E17" s="14"/>
      <c r="F17" s="14"/>
      <c r="G17" s="14"/>
      <c r="H17" s="14"/>
    </row>
    <row r="18" customFormat="false" ht="27.75" hidden="false" customHeight="true" outlineLevel="0" collapsed="false">
      <c r="A18" s="14"/>
      <c r="B18" s="14"/>
      <c r="C18" s="14"/>
      <c r="D18" s="14"/>
      <c r="E18" s="14"/>
      <c r="F18" s="14"/>
      <c r="G18" s="14"/>
      <c r="H18" s="14"/>
    </row>
    <row r="19" customFormat="false" ht="27.75" hidden="false" customHeight="true" outlineLevel="0" collapsed="false">
      <c r="A19" s="14"/>
      <c r="B19" s="14"/>
      <c r="C19" s="14"/>
      <c r="D19" s="14"/>
      <c r="E19" s="14"/>
      <c r="F19" s="14"/>
      <c r="G19" s="14"/>
      <c r="H19" s="14"/>
    </row>
    <row r="20" customFormat="false" ht="27.75" hidden="false" customHeight="true" outlineLevel="0" collapsed="false">
      <c r="A20" s="14"/>
      <c r="B20" s="14"/>
      <c r="C20" s="14"/>
      <c r="D20" s="14"/>
      <c r="E20" s="14"/>
      <c r="F20" s="14"/>
      <c r="G20" s="14"/>
      <c r="H20" s="14"/>
    </row>
    <row r="21" customFormat="false" ht="27.75" hidden="false" customHeight="true" outlineLevel="0" collapsed="false">
      <c r="A21" s="14"/>
      <c r="B21" s="14"/>
      <c r="C21" s="14"/>
      <c r="D21" s="14"/>
      <c r="E21" s="14"/>
      <c r="F21" s="14"/>
      <c r="G21" s="14"/>
      <c r="H21" s="14"/>
    </row>
    <row r="22" customFormat="false" ht="27.75" hidden="false" customHeight="true" outlineLevel="0" collapsed="false">
      <c r="A22" s="14"/>
      <c r="B22" s="14"/>
      <c r="C22" s="14"/>
      <c r="D22" s="14"/>
      <c r="E22" s="14"/>
      <c r="F22" s="14"/>
      <c r="G22" s="14"/>
      <c r="H22" s="14"/>
    </row>
    <row r="23" customFormat="false" ht="27.75" hidden="false" customHeight="true" outlineLevel="0" collapsed="false">
      <c r="A23" s="14"/>
      <c r="B23" s="14"/>
      <c r="C23" s="14"/>
      <c r="D23" s="14"/>
      <c r="E23" s="14"/>
      <c r="F23" s="14"/>
      <c r="G23" s="14"/>
      <c r="H23" s="14"/>
    </row>
    <row r="24" customFormat="false" ht="27.75" hidden="false" customHeight="true" outlineLevel="0" collapsed="false">
      <c r="A24" s="14"/>
      <c r="B24" s="14"/>
      <c r="C24" s="14"/>
      <c r="D24" s="14"/>
      <c r="E24" s="14"/>
      <c r="F24" s="14"/>
      <c r="G24" s="14"/>
      <c r="H24" s="14"/>
    </row>
    <row r="25" customFormat="false" ht="27.75" hidden="false" customHeight="true" outlineLevel="0" collapsed="false">
      <c r="A25" s="14"/>
      <c r="B25" s="14"/>
      <c r="C25" s="14"/>
      <c r="D25" s="14"/>
      <c r="E25" s="14"/>
      <c r="F25" s="14"/>
      <c r="G25" s="14"/>
      <c r="H25" s="14"/>
    </row>
    <row r="26" customFormat="false" ht="27.75" hidden="false" customHeight="true" outlineLevel="0" collapsed="false">
      <c r="A26" s="14"/>
      <c r="B26" s="14"/>
      <c r="C26" s="14"/>
      <c r="D26" s="14"/>
      <c r="E26" s="14"/>
      <c r="F26" s="14"/>
      <c r="G26" s="14"/>
      <c r="H26" s="14"/>
    </row>
    <row r="27" customFormat="false" ht="27.75" hidden="false" customHeight="true" outlineLevel="0" collapsed="false">
      <c r="A27" s="14"/>
      <c r="B27" s="14"/>
      <c r="C27" s="14"/>
      <c r="D27" s="14"/>
      <c r="E27" s="14"/>
      <c r="F27" s="14"/>
      <c r="G27" s="14"/>
      <c r="H27" s="14"/>
    </row>
    <row r="28" customFormat="false" ht="27.75" hidden="false" customHeight="true" outlineLevel="0" collapsed="false">
      <c r="A28" s="14"/>
      <c r="B28" s="14"/>
      <c r="C28" s="14"/>
      <c r="D28" s="14"/>
      <c r="E28" s="14"/>
      <c r="F28" s="14"/>
      <c r="G28" s="14"/>
      <c r="H28" s="14"/>
    </row>
    <row r="29" customFormat="false" ht="27.75" hidden="false" customHeight="true" outlineLevel="0" collapsed="false">
      <c r="A29" s="14"/>
      <c r="B29" s="14"/>
      <c r="C29" s="14"/>
      <c r="D29" s="14"/>
      <c r="E29" s="14"/>
      <c r="F29" s="14"/>
      <c r="G29" s="14"/>
      <c r="H29" s="14"/>
    </row>
    <row r="30" customFormat="false" ht="27.75" hidden="false" customHeight="true" outlineLevel="0" collapsed="false">
      <c r="A30" s="14"/>
      <c r="B30" s="14"/>
      <c r="C30" s="14"/>
      <c r="D30" s="14"/>
      <c r="E30" s="14"/>
      <c r="F30" s="14"/>
      <c r="G30" s="14"/>
      <c r="H30" s="14"/>
    </row>
    <row r="31" customFormat="false" ht="27.75" hidden="false" customHeight="true" outlineLevel="0" collapsed="false">
      <c r="A31" s="14"/>
      <c r="B31" s="14"/>
      <c r="C31" s="14"/>
      <c r="D31" s="14"/>
      <c r="E31" s="14"/>
      <c r="F31" s="14"/>
      <c r="G31" s="14"/>
      <c r="H31" s="14"/>
    </row>
    <row r="32" customFormat="false" ht="27.75" hidden="false" customHeight="true" outlineLevel="0" collapsed="false">
      <c r="A32" s="14"/>
      <c r="B32" s="14"/>
      <c r="C32" s="14"/>
      <c r="D32" s="14"/>
      <c r="E32" s="14"/>
      <c r="F32" s="14"/>
      <c r="G32" s="14"/>
      <c r="H32" s="14"/>
    </row>
    <row r="33" customFormat="false" ht="27.75" hidden="false" customHeight="true" outlineLevel="0" collapsed="false">
      <c r="A33" s="14"/>
      <c r="B33" s="14"/>
      <c r="C33" s="14"/>
      <c r="D33" s="14"/>
      <c r="E33" s="14"/>
      <c r="F33" s="14"/>
      <c r="G33" s="14"/>
      <c r="H33" s="14"/>
    </row>
    <row r="34" customFormat="false" ht="27.75" hidden="false" customHeight="true" outlineLevel="0" collapsed="false">
      <c r="A34" s="14"/>
      <c r="B34" s="14"/>
      <c r="C34" s="14"/>
      <c r="D34" s="14"/>
      <c r="E34" s="14"/>
      <c r="F34" s="14"/>
      <c r="G34" s="14"/>
      <c r="H34" s="14"/>
    </row>
    <row r="35" customFormat="false" ht="27.75" hidden="false" customHeight="true" outlineLevel="0" collapsed="false">
      <c r="A35" s="14"/>
      <c r="B35" s="14"/>
      <c r="C35" s="14"/>
      <c r="D35" s="14"/>
      <c r="E35" s="14"/>
      <c r="F35" s="14"/>
      <c r="G35" s="14"/>
      <c r="H35" s="14"/>
    </row>
    <row r="36" customFormat="false" ht="27.75" hidden="false" customHeight="true" outlineLevel="0" collapsed="false">
      <c r="A36" s="14"/>
      <c r="B36" s="14"/>
      <c r="C36" s="14"/>
      <c r="D36" s="14"/>
      <c r="E36" s="14"/>
      <c r="F36" s="14"/>
      <c r="G36" s="14"/>
      <c r="H36" s="14"/>
    </row>
    <row r="37" customFormat="false" ht="27.75" hidden="false" customHeight="true" outlineLevel="0" collapsed="false">
      <c r="A37" s="14"/>
      <c r="B37" s="14"/>
      <c r="C37" s="14"/>
      <c r="D37" s="14"/>
      <c r="E37" s="14"/>
      <c r="F37" s="14"/>
      <c r="G37" s="14"/>
      <c r="H37" s="14"/>
    </row>
    <row r="38" customFormat="false" ht="27.75" hidden="false" customHeight="true" outlineLevel="0" collapsed="false">
      <c r="A38" s="14"/>
      <c r="B38" s="14"/>
      <c r="C38" s="14"/>
      <c r="D38" s="14"/>
      <c r="E38" s="14"/>
      <c r="F38" s="14"/>
      <c r="G38" s="14"/>
      <c r="H38" s="14"/>
    </row>
    <row r="39" customFormat="false" ht="27.75" hidden="false" customHeight="true" outlineLevel="0" collapsed="false">
      <c r="A39" s="14"/>
      <c r="B39" s="14"/>
      <c r="C39" s="14"/>
      <c r="D39" s="14"/>
      <c r="E39" s="14"/>
      <c r="F39" s="14"/>
      <c r="G39" s="14"/>
      <c r="H39" s="14"/>
    </row>
    <row r="40" customFormat="false" ht="27.75" hidden="false" customHeight="true" outlineLevel="0" collapsed="false">
      <c r="A40" s="14"/>
      <c r="B40" s="14"/>
      <c r="C40" s="14"/>
      <c r="D40" s="14"/>
      <c r="E40" s="14"/>
      <c r="F40" s="14"/>
      <c r="G40" s="14"/>
      <c r="H40" s="14"/>
    </row>
    <row r="41" customFormat="false" ht="27.75" hidden="false" customHeight="true" outlineLevel="0" collapsed="false">
      <c r="A41" s="14"/>
      <c r="B41" s="14"/>
      <c r="C41" s="14"/>
      <c r="D41" s="14"/>
      <c r="E41" s="14"/>
      <c r="F41" s="14"/>
      <c r="G41" s="14"/>
      <c r="H41" s="14"/>
    </row>
    <row r="42" customFormat="false" ht="27.75" hidden="false" customHeight="true" outlineLevel="0" collapsed="false">
      <c r="A42" s="14"/>
      <c r="B42" s="14"/>
      <c r="C42" s="14"/>
      <c r="D42" s="14"/>
      <c r="E42" s="14"/>
      <c r="F42" s="14"/>
      <c r="G42" s="14"/>
      <c r="H42" s="14"/>
    </row>
    <row r="43" customFormat="false" ht="27.75" hidden="false" customHeight="true" outlineLevel="0" collapsed="false">
      <c r="A43" s="14"/>
      <c r="B43" s="14"/>
      <c r="C43" s="14"/>
      <c r="D43" s="14"/>
      <c r="E43" s="14"/>
      <c r="F43" s="14"/>
      <c r="G43" s="14"/>
      <c r="H43" s="14"/>
    </row>
    <row r="44" customFormat="false" ht="27.75" hidden="false" customHeight="true" outlineLevel="0" collapsed="false">
      <c r="A44" s="14"/>
      <c r="B44" s="14"/>
      <c r="C44" s="14"/>
      <c r="D44" s="14"/>
      <c r="E44" s="14"/>
      <c r="F44" s="14"/>
      <c r="G44" s="14"/>
      <c r="H44" s="14"/>
    </row>
    <row r="45" customFormat="false" ht="27.75" hidden="false" customHeight="true" outlineLevel="0" collapsed="false">
      <c r="A45" s="14"/>
      <c r="B45" s="14"/>
      <c r="C45" s="14"/>
      <c r="D45" s="14"/>
      <c r="E45" s="14"/>
      <c r="F45" s="14"/>
      <c r="G45" s="14"/>
      <c r="H45" s="14"/>
    </row>
    <row r="46" customFormat="false" ht="27.75" hidden="false" customHeight="true" outlineLevel="0" collapsed="false">
      <c r="A46" s="14"/>
      <c r="B46" s="14"/>
      <c r="C46" s="14"/>
      <c r="D46" s="14"/>
      <c r="E46" s="14"/>
      <c r="F46" s="14"/>
      <c r="G46" s="14"/>
      <c r="H46" s="14"/>
    </row>
    <row r="47" customFormat="false" ht="27.75" hidden="false" customHeight="true" outlineLevel="0" collapsed="false">
      <c r="A47" s="14"/>
      <c r="B47" s="14"/>
      <c r="C47" s="14"/>
      <c r="D47" s="14"/>
      <c r="E47" s="14"/>
      <c r="F47" s="14"/>
      <c r="G47" s="14"/>
      <c r="H47" s="14"/>
    </row>
    <row r="48" customFormat="false" ht="27.75" hidden="false" customHeight="true" outlineLevel="0" collapsed="false">
      <c r="A48" s="14"/>
      <c r="B48" s="14"/>
      <c r="C48" s="14"/>
      <c r="D48" s="14"/>
      <c r="E48" s="14"/>
      <c r="F48" s="14"/>
      <c r="G48" s="14"/>
      <c r="H48" s="14"/>
    </row>
    <row r="49" customFormat="false" ht="27.75" hidden="false" customHeight="true" outlineLevel="0" collapsed="false">
      <c r="A49" s="14"/>
      <c r="B49" s="14"/>
      <c r="C49" s="14"/>
      <c r="D49" s="14"/>
      <c r="E49" s="14"/>
      <c r="F49" s="14"/>
      <c r="G49" s="14"/>
      <c r="H49" s="14"/>
    </row>
    <row r="50" customFormat="false" ht="27.75" hidden="false" customHeight="true" outlineLevel="0" collapsed="false">
      <c r="A50" s="14"/>
      <c r="B50" s="14"/>
      <c r="C50" s="14"/>
      <c r="D50" s="14"/>
      <c r="E50" s="14"/>
      <c r="F50" s="14"/>
      <c r="G50" s="14"/>
      <c r="H50" s="14"/>
    </row>
    <row r="51" customFormat="false" ht="27.75" hidden="false" customHeight="true" outlineLevel="0" collapsed="false">
      <c r="A51" s="14"/>
      <c r="B51" s="14"/>
      <c r="C51" s="14"/>
      <c r="D51" s="14"/>
      <c r="E51" s="14"/>
      <c r="F51" s="14"/>
      <c r="G51" s="14"/>
      <c r="H51" s="14"/>
    </row>
  </sheetData>
  <autoFilter ref="A1:H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95"/>
  </cols>
  <sheetData>
    <row r="1" customFormat="false" ht="22.05" hidden="false" customHeight="false" outlineLevel="0" collapsed="false">
      <c r="A1" s="1" t="s">
        <v>259</v>
      </c>
    </row>
    <row r="3" customFormat="false" ht="15" hidden="false" customHeight="false" outlineLevel="0" collapsed="false">
      <c r="A3" s="3" t="s">
        <v>260</v>
      </c>
    </row>
    <row r="4" customFormat="false" ht="23.85" hidden="false" customHeight="false" outlineLevel="0" collapsed="false">
      <c r="A4" s="15" t="s">
        <v>42</v>
      </c>
      <c r="B4" s="16" t="s">
        <v>261</v>
      </c>
    </row>
    <row r="5" customFormat="false" ht="15" hidden="false" customHeight="false" outlineLevel="0" collapsed="false">
      <c r="A5" s="17" t="s">
        <v>109</v>
      </c>
      <c r="B5" s="16" t="s">
        <v>262</v>
      </c>
    </row>
    <row r="6" customFormat="false" ht="15" hidden="false" customHeight="false" outlineLevel="0" collapsed="false">
      <c r="A6" s="18" t="s">
        <v>177</v>
      </c>
      <c r="B6" s="16" t="s">
        <v>263</v>
      </c>
    </row>
    <row r="7" customFormat="false" ht="15" hidden="false" customHeight="false" outlineLevel="0" collapsed="false">
      <c r="A7" s="19" t="s">
        <v>264</v>
      </c>
      <c r="B7" s="16" t="s">
        <v>265</v>
      </c>
    </row>
    <row r="9" customFormat="false" ht="15" hidden="false" customHeight="false" outlineLevel="0" collapsed="false">
      <c r="A9" s="3" t="s">
        <v>266</v>
      </c>
    </row>
    <row r="10" customFormat="false" ht="15" hidden="false" customHeight="false" outlineLevel="0" collapsed="false">
      <c r="A10" s="0" t="s">
        <v>19</v>
      </c>
      <c r="B10" s="16" t="s">
        <v>267</v>
      </c>
    </row>
    <row r="11" customFormat="false" ht="15" hidden="false" customHeight="false" outlineLevel="0" collapsed="false">
      <c r="A11" s="0" t="s">
        <v>20</v>
      </c>
      <c r="B11" s="16" t="s">
        <v>268</v>
      </c>
    </row>
    <row r="12" customFormat="false" ht="15" hidden="false" customHeight="false" outlineLevel="0" collapsed="false">
      <c r="A12" s="0" t="s">
        <v>21</v>
      </c>
      <c r="B12" s="16" t="s">
        <v>269</v>
      </c>
    </row>
    <row r="13" customFormat="false" ht="15" hidden="false" customHeight="false" outlineLevel="0" collapsed="false">
      <c r="A13" s="0" t="s">
        <v>22</v>
      </c>
      <c r="B13" s="16" t="s">
        <v>270</v>
      </c>
    </row>
    <row r="14" customFormat="false" ht="15" hidden="false" customHeight="false" outlineLevel="0" collapsed="false">
      <c r="A14" s="0" t="s">
        <v>23</v>
      </c>
      <c r="B14" s="16" t="s">
        <v>271</v>
      </c>
    </row>
    <row r="15" customFormat="false" ht="15" hidden="false" customHeight="false" outlineLevel="0" collapsed="false">
      <c r="A15" s="0" t="s">
        <v>24</v>
      </c>
      <c r="B15" s="16" t="s">
        <v>272</v>
      </c>
    </row>
    <row r="16" customFormat="false" ht="15" hidden="false" customHeight="false" outlineLevel="0" collapsed="false">
      <c r="A16" s="0" t="s">
        <v>25</v>
      </c>
      <c r="B16" s="16" t="s">
        <v>273</v>
      </c>
    </row>
    <row r="17" customFormat="false" ht="15" hidden="false" customHeight="false" outlineLevel="0" collapsed="false">
      <c r="A17" s="0" t="s">
        <v>26</v>
      </c>
      <c r="B17" s="16" t="s">
        <v>274</v>
      </c>
    </row>
    <row r="19" customFormat="false" ht="15" hidden="false" customHeight="false" outlineLevel="0" collapsed="false">
      <c r="A19" s="3" t="s">
        <v>275</v>
      </c>
    </row>
    <row r="20" customFormat="false" ht="15" hidden="false" customHeight="false" outlineLevel="0" collapsed="false">
      <c r="A20" s="0" t="s">
        <v>11</v>
      </c>
      <c r="B20" s="16" t="s">
        <v>276</v>
      </c>
    </row>
    <row r="21" customFormat="false" ht="15" hidden="false" customHeight="false" outlineLevel="0" collapsed="false">
      <c r="A21" s="0" t="s">
        <v>14</v>
      </c>
      <c r="B21" s="16" t="s">
        <v>277</v>
      </c>
    </row>
    <row r="22" customFormat="false" ht="15" hidden="false" customHeight="false" outlineLevel="0" collapsed="false">
      <c r="A22" s="0" t="s">
        <v>12</v>
      </c>
      <c r="B22" s="16" t="s">
        <v>278</v>
      </c>
    </row>
    <row r="23" customFormat="false" ht="15" hidden="false" customHeight="false" outlineLevel="0" collapsed="false">
      <c r="A23" s="0" t="s">
        <v>13</v>
      </c>
      <c r="B23" s="16" t="s">
        <v>279</v>
      </c>
    </row>
    <row r="24" customFormat="false" ht="15" hidden="false" customHeight="false" outlineLevel="0" collapsed="false">
      <c r="A24" s="0" t="s">
        <v>15</v>
      </c>
      <c r="B24" s="16" t="s">
        <v>280</v>
      </c>
    </row>
    <row r="25" customFormat="false" ht="15" hidden="false" customHeight="false" outlineLevel="0" collapsed="false">
      <c r="A25" s="0" t="s">
        <v>16</v>
      </c>
      <c r="B25" s="16" t="s">
        <v>281</v>
      </c>
    </row>
    <row r="26" customFormat="false" ht="15" hidden="false" customHeight="false" outlineLevel="0" collapsed="false">
      <c r="A26" s="0" t="s">
        <v>17</v>
      </c>
      <c r="B26" s="16" t="s">
        <v>282</v>
      </c>
    </row>
    <row r="28" customFormat="false" ht="15" hidden="false" customHeight="false" outlineLevel="0" collapsed="false">
      <c r="A28" s="3" t="s">
        <v>283</v>
      </c>
    </row>
    <row r="29" customFormat="false" ht="35.05" hidden="false" customHeight="false" outlineLevel="0" collapsed="false">
      <c r="A29" s="16" t="s">
        <v>284</v>
      </c>
    </row>
    <row r="30" customFormat="false" ht="35.05" hidden="false" customHeight="false" outlineLevel="0" collapsed="false">
      <c r="A30" s="16" t="s">
        <v>285</v>
      </c>
    </row>
    <row r="31" customFormat="false" ht="35.05" hidden="false" customHeight="false" outlineLevel="0" collapsed="false">
      <c r="A31" s="16" t="s">
        <v>286</v>
      </c>
    </row>
    <row r="32" customFormat="false" ht="35.05" hidden="false" customHeight="false" outlineLevel="0" collapsed="false">
      <c r="A32" s="16" t="s">
        <v>287</v>
      </c>
    </row>
    <row r="33" customFormat="false" ht="35.05" hidden="false" customHeight="false" outlineLevel="0" collapsed="false">
      <c r="A33" s="16" t="s">
        <v>288</v>
      </c>
    </row>
    <row r="34" customFormat="false" ht="35.05" hidden="false" customHeight="false" outlineLevel="0" collapsed="false">
      <c r="A34" s="16"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2026-05-16T14:30:53Z</dcterms:created>
  <dc:creator>openpyxl</dc:creator>
  <dc:description/>
  <dc:language>en-US</dc:language>
  <cp:lastModifiedBy/>
  <dcterms:modified xsi:type="dcterms:W3CDTF">2026-05-16T14:30:53Z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